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9baf79833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tions" sheetId="1" r:id="R490534b501894d81"/>
    <x:sheet xmlns:r="http://schemas.openxmlformats.org/officeDocument/2006/relationships" name="01_Item_Master" sheetId="2" r:id="R71c79b8c13934917"/>
    <x:sheet xmlns:r="http://schemas.openxmlformats.org/officeDocument/2006/relationships" name="02_Pricing" sheetId="3" r:id="Re3792ac4644e4790"/>
    <x:sheet xmlns:r="http://schemas.openxmlformats.org/officeDocument/2006/relationships" name="03_Bundle_BOM" sheetId="4" r:id="R16763c70e40d486b"/>
    <x:sheet xmlns:r="http://schemas.openxmlformats.org/officeDocument/2006/relationships" name="04_Logistics" sheetId="5" r:id="Rdf885cb714e749ed"/>
    <x:sheet xmlns:r="http://schemas.openxmlformats.org/officeDocument/2006/relationships" name="05_Compliance" sheetId="6" r:id="R147ae5c26db545d8"/>
    <x:sheet xmlns:r="http://schemas.openxmlformats.org/officeDocument/2006/relationships" name="06_Warranty_RMA" sheetId="7" r:id="Rbba39fbac13341e6"/>
    <x:sheet xmlns:r="http://schemas.openxmlformats.org/officeDocument/2006/relationships" name="07_Terms_Approvals" sheetId="8" r:id="R73d5ca82fc9a41b9"/>
    <x:sheet xmlns:r="http://schemas.openxmlformats.org/officeDocument/2006/relationships" name="99_Lists_QA" sheetId="9" r:id="Rdfcb4a51297b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"/>
    <x:numFmt numFmtId="202" formatCode="$#,##0.00"/>
    <x:numFmt numFmtId="203" formatCode="0.0%"/>
    <x:numFmt numFmtId="204" formatCode="yyyy-mm-dd"/>
    <x:numFmt numFmtId="205" formatCode="0.0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17365D"/>
      <x:name val="Carlito"/>
    </x:font>
    <x:font>
      <x:b/>
      <x:sz val="16"/>
      <x:color rgb="FF2F75B5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11"/>
      <x:color rgb="FF9C0006"/>
      <x:name val="Carlito"/>
    </x:font>
    <x:font>
      <x:b/>
      <x:sz val="11"/>
      <x:color rgb="FF375623"/>
      <x:name val="Carlito"/>
    </x:font>
    <x:font>
      <x:i/>
      <x:sz val="8"/>
      <x:color rgb="FF595959"/>
      <x:name val="Carlito"/>
    </x:font>
    <x:font>
      <x:sz val="11"/>
      <x:color rgb="FF1F2937"/>
      <x:name val="Carlito"/>
    </x:font>
    <x:font>
      <x:b/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5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top style="thin">
        <x:color rgb="FFC9D2DC"/>
      </x:top>
    </x:border>
    <x:border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8" xfId="0" applyNumberFormat="1" applyFont="1" applyFill="1" applyBorder="1"/>
    <x:xf numFmtId="0" fontId="7" fillId="0" borderId="10" xfId="0" applyNumberFormat="1" applyFont="1" applyFill="1" applyBorder="1"/>
    <x:xf numFmtId="0" fontId="7" fillId="0" borderId="8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9" xfId="0" applyNumberFormat="1" applyFont="1" applyFill="1" applyBorder="1"/>
    <x:xf numFmtId="0" fontId="8" fillId="7" borderId="11" xfId="0" applyNumberFormat="1" applyFont="1" applyFill="1" applyBorder="1"/>
    <x:xf numFmtId="0" fontId="8" fillId="7" borderId="7" xfId="0" applyNumberFormat="1" applyFont="1" applyFill="1" applyBorder="1"/>
    <x:xf numFmtId="0" fontId="8" fillId="7" borderId="12" xfId="0" applyNumberFormat="1" applyFont="1" applyFill="1" applyBorder="1"/>
    <x:xf numFmtId="0" fontId="8" fillId="7" borderId="1" xfId="0" applyNumberFormat="1" applyFont="1" applyFill="1" applyBorder="1"/>
    <x:xf numFmtId="0" fontId="8" fillId="7" borderId="13" xfId="0" applyNumberFormat="1" applyFont="1" applyFill="1" applyBorder="1"/>
    <x:xf numFmtId="0" fontId="8" fillId="7" borderId="4" xfId="0" applyNumberFormat="1" applyFont="1" applyFill="1" applyBorder="1"/>
    <x:xf numFmtId="0" fontId="8" fillId="7" borderId="14" xfId="0" applyNumberFormat="1" applyFont="1" applyFill="1" applyBorder="1"/>
    <x:xf numFmtId="0" fontId="8" fillId="7" borderId="2" xfId="0" applyNumberFormat="1" applyFont="1" applyFill="1" applyBorder="1"/>
    <x:xf numFmtId="0" fontId="8" fillId="7" borderId="9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14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wrapText="1"/>
    </x:xf>
    <x:xf numFmtId="0" fontId="9" fillId="8" borderId="4" xfId="0" applyNumberFormat="1" applyFont="1" applyFill="1" applyBorder="1" applyAlignment="1">
      <x:alignment wrapText="1"/>
    </x:xf>
    <x:xf numFmtId="0" fontId="9" fillId="8" borderId="14" xfId="0" applyNumberFormat="1" applyFont="1" applyFill="1" applyBorder="1" applyAlignment="1">
      <x:alignment wrapText="1"/>
    </x:xf>
    <x:xf numFmtId="0" fontId="9" fillId="8" borderId="2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vertical="center" wrapText="1"/>
    </x:xf>
    <x:xf numFmtId="200" fontId="11" fillId="5" borderId="1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/>
    </x:xf>
    <x:xf numFmtId="201" fontId="7" fillId="0" borderId="10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202" fontId="7" fillId="0" borderId="8" xfId="0" applyNumberFormat="1" applyFont="1" applyFill="1" applyBorder="1" applyAlignment="1">
      <x:alignment vertical="center"/>
    </x:xf>
    <x:xf numFmtId="202" fontId="7" fillId="0" borderId="10" xfId="0" applyNumberFormat="1" applyFont="1" applyFill="1" applyBorder="1" applyAlignment="1">
      <x:alignment vertical="center"/>
    </x:xf>
    <x:xf numFmtId="203" fontId="7" fillId="0" borderId="8" xfId="0" applyNumberFormat="1" applyFont="1" applyFill="1" applyBorder="1" applyAlignment="1">
      <x:alignment vertical="center"/>
    </x:xf>
    <x:xf numFmtId="203" fontId="7" fillId="0" borderId="10" xfId="0" applyNumberFormat="1" applyFont="1" applyFill="1" applyBorder="1" applyAlignment="1">
      <x:alignment vertical="center"/>
    </x:xf>
    <x:xf numFmtId="204" fontId="7" fillId="0" borderId="8" xfId="0" applyNumberFormat="1" applyFont="1" applyFill="1" applyBorder="1" applyAlignment="1">
      <x:alignment vertical="center"/>
    </x:xf>
    <x:xf numFmtId="204" fontId="7" fillId="0" borderId="10" xfId="0" applyNumberFormat="1" applyFont="1" applyFill="1" applyBorder="1" applyAlignment="1">
      <x:alignment vertical="center"/>
    </x:xf>
    <x:xf numFmtId="205" fontId="7" fillId="0" borderId="8" xfId="0" applyNumberFormat="1" applyFont="1" applyFill="1" applyBorder="1" applyAlignment="1">
      <x:alignment vertical="center"/>
    </x:xf>
    <x:xf numFmtId="205" fontId="7" fillId="0" borderId="10" xfId="0" applyNumberFormat="1" applyFont="1" applyFill="1" applyBorder="1" applyAlignment="1">
      <x:alignment vertical="center"/>
    </x:xf>
    <x:xf numFmtId="204" fontId="7" fillId="0" borderId="8" xfId="0" applyNumberFormat="1" applyFont="1" applyFill="1" applyBorder="1" applyAlignment="1">
      <x:alignment vertical="center" wrapText="1"/>
    </x:xf>
    <x:xf numFmtId="204" fontId="7" fillId="0" borderId="1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2" xfId="0" applyNumberFormat="1" applyFont="1" applyFill="1" applyBorder="1"/>
    <x:xf numFmtId="0" fontId="12" fillId="9" borderId="3" xfId="0" applyNumberFormat="1" applyFont="1" applyFill="1" applyBorder="1"/>
    <x:xf numFmtId="0" fontId="12" fillId="9" borderId="4" xfId="0" applyNumberFormat="1" applyFont="1" applyFill="1" applyBorder="1"/>
    <x:xf numFmtId="0" fontId="12" fillId="9" borderId="7" xfId="0" applyNumberFormat="1" applyFont="1" applyFill="1" applyBorder="1"/>
    <x:xf numFmtId="0" fontId="12" fillId="9" borderId="8" xfId="0" applyNumberFormat="1" applyFont="1" applyFill="1" applyBorder="1"/>
    <x:xf numFmtId="0" fontId="12" fillId="9" borderId="9" xfId="0" applyNumberFormat="1" applyFont="1" applyFill="1" applyBorder="1"/>
    <x:xf numFmtId="0" fontId="12" fillId="9" borderId="2" xfId="0" applyNumberFormat="1" applyFont="1" applyFill="1" applyBorder="1" applyAlignment="1">
      <x:alignment wrapText="1"/>
    </x:xf>
    <x:xf numFmtId="0" fontId="12" fillId="9" borderId="3" xfId="0" applyNumberFormat="1" applyFont="1" applyFill="1" applyBorder="1" applyAlignment="1">
      <x:alignment wrapText="1"/>
    </x:xf>
    <x:xf numFmtId="0" fontId="12" fillId="9" borderId="4" xfId="0" applyNumberFormat="1" applyFont="1" applyFill="1" applyBorder="1" applyAlignment="1">
      <x:alignment wrapText="1"/>
    </x:xf>
    <x:xf numFmtId="0" fontId="12" fillId="9" borderId="7" xfId="0" applyNumberFormat="1" applyFont="1" applyFill="1" applyBorder="1" applyAlignment="1">
      <x:alignment wrapText="1"/>
    </x:xf>
    <x:xf numFmtId="0" fontId="12" fillId="9" borderId="8" xfId="0" applyNumberFormat="1" applyFont="1" applyFill="1" applyBorder="1" applyAlignment="1">
      <x:alignment wrapText="1"/>
    </x:xf>
    <x:xf numFmtId="0" fontId="12" fillId="9" borderId="9" xfId="0" applyNumberFormat="1" applyFont="1" applyFill="1" applyBorder="1" applyAlignment="1">
      <x:alignment wrapText="1"/>
    </x:xf>
  </x:cellXfs>
  <x:cellStyles count="1">
    <x:cellStyle name="Normal" xfId="0"/>
  </x:cellStyles>
  <x:dxfs count="265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ba7a2c0be4f93" /><Relationship Type="http://schemas.openxmlformats.org/officeDocument/2006/relationships/theme" Target="/xl/theme/theme1.xml" Id="R7152fc47a87041c9" /><Relationship Type="http://schemas.openxmlformats.org/officeDocument/2006/relationships/sharedStrings" Target="/xl/sharedStrings.xml" Id="R9dd4e0b0052c4155" /><Relationship Type="http://schemas.openxmlformats.org/officeDocument/2006/relationships/worksheet" Target="/xl/worksheets/sheet1.xml" Id="R490534b501894d81" /><Relationship Type="http://schemas.openxmlformats.org/officeDocument/2006/relationships/worksheet" Target="/xl/worksheets/sheet2.xml" Id="R71c79b8c13934917" /><Relationship Type="http://schemas.openxmlformats.org/officeDocument/2006/relationships/worksheet" Target="/xl/worksheets/sheet3.xml" Id="Re3792ac4644e4790" /><Relationship Type="http://schemas.openxmlformats.org/officeDocument/2006/relationships/worksheet" Target="/xl/worksheets/sheet4.xml" Id="R16763c70e40d486b" /><Relationship Type="http://schemas.openxmlformats.org/officeDocument/2006/relationships/worksheet" Target="/xl/worksheets/sheet5.xml" Id="Rdf885cb714e749ed" /><Relationship Type="http://schemas.openxmlformats.org/officeDocument/2006/relationships/worksheet" Target="/xl/worksheets/sheet6.xml" Id="R147ae5c26db545d8" /><Relationship Type="http://schemas.openxmlformats.org/officeDocument/2006/relationships/worksheet" Target="/xl/worksheets/sheet7.xml" Id="Rbba39fbac13341e6" /><Relationship Type="http://schemas.openxmlformats.org/officeDocument/2006/relationships/worksheet" Target="/xl/worksheets/sheet8.xml" Id="R73d5ca82fc9a41b9" /><Relationship Type="http://schemas.openxmlformats.org/officeDocument/2006/relationships/worksheet" Target="/xl/worksheets/sheet9.xml" Id="Rdfcb4a51297b442e" /></Relationships>
</file>

<file path=xl/tables/table1.xml><?xml version="1.0" encoding="utf-8"?>
<x:table xmlns:x="http://schemas.openxmlformats.org/spreadsheetml/2006/main" id="1" name="ItemMasterTable" displayName="ItemMasterTable" ref="A5:V26" headerRowCount="1" totalsRowCount="0" totalsRowShown="0">
  <x:autoFilter ref="A5:V26"/>
  <x:tableColumns count="22">
    <x:tableColumn id="1" name="Record_Status"/>
    <x:tableColumn id="2" name="Vendor_SKU"/>
    <x:tableColumn id="3" name="MPN"/>
    <x:tableColumn id="4" name="Brand"/>
    <x:tableColumn id="5" name="Item_Type"/>
    <x:tableColumn id="6" name="Category"/>
    <x:tableColumn id="7" name="Product_Name"/>
    <x:tableColumn id="8" name="Sellable_Flag"/>
    <x:tableColumn id="9" name="Suggested_UOM"/>
    <x:tableColumn id="10" name="UOM_Status"/>
    <x:tableColumn id="11" name="UPC_GTIN12"/>
    <x:tableColumn id="12" name="UPC_Status"/>
    <x:tableColumn id="13" name="GS1_Owner_Verified"/>
    <x:tableColumn id="14" name="UPC_Format_Check"/>
    <x:tableColumn id="15" name="Fulfillment_Type"/>
    <x:tableColumn id="16" name="Serialized_Flag"/>
    <x:tableColumn id="17" name="Battery_Included"/>
    <x:tableColumn id="18" name="Lifecycle_Status"/>
    <x:tableColumn id="19" name="Source_Page"/>
    <x:tableColumn id="20" name="Data_Readiness"/>
    <x:tableColumn id="21" name="Open_Issues"/>
    <x:tableColumn id="22" name="Source_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ingTable" displayName="PricingTable" ref="A5:W26" headerRowCount="1" totalsRowCount="0" totalsRowShown="0">
  <x:autoFilter ref="A5:W26"/>
  <x:tableColumns count="23">
    <x:tableColumn id="1" name="Price_Record_Status"/>
    <x:tableColumn id="2" name="Vendor_SKU"/>
    <x:tableColumn id="3" name="Currency"/>
    <x:tableColumn id="4" name="MSRP_USD"/>
    <x:tableColumn id="5" name="Wholesale_Cost_USD"/>
    <x:tableColumn id="6" name="Cost_Status"/>
    <x:tableColumn id="7" name="Source_Original_Value"/>
    <x:tableColumn id="8" name="Calculated_Original_Value"/>
    <x:tableColumn id="9" name="Original_Value_Check"/>
    <x:tableColumn id="10" name="Proposed_MAP_USD"/>
    <x:tableColumn id="11" name="MAP_Acceptance_Status"/>
    <x:tableColumn id="12" name="Gross_Margin_Pct"/>
    <x:tableColumn id="13" name="Bundle_Discount_Pct"/>
    <x:tableColumn id="14" name="Issue_Date"/>
    <x:tableColumn id="15" name="Stated_Effective_Date"/>
    <x:tableColumn id="16" name="Price_Notice_Sent_Date"/>
    <x:tableColumn id="17" name="Contract_Effective_Date"/>
    <x:tableColumn id="18" name="Effective_Date_Check"/>
    <x:tableColumn id="19" name="Valid_Through"/>
    <x:tableColumn id="20" name="Rebate_Program_Status"/>
    <x:tableColumn id="21" name="Price_Schedule_ID_Version"/>
    <x:tableColumn id="22" name="Source_Page"/>
    <x:tableColumn id="23" name="Approval_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ndleBOMTable" displayName="BundleBOMTable" ref="A5:M30" headerRowCount="1" totalsRowCount="0" totalsRowShown="0">
  <x:autoFilter ref="A5:M30"/>
  <x:tableColumns count="13">
    <x:tableColumn id="1" name="Bundle_SKU"/>
    <x:tableColumn id="2" name="Line_No"/>
    <x:tableColumn id="3" name="Component_SKU"/>
    <x:tableColumn id="4" name="Component_Qty"/>
    <x:tableColumn id="5" name="Component_Name"/>
    <x:tableColumn id="6" name="Component_MSRP"/>
    <x:tableColumn id="7" name="Component_Cost"/>
    <x:tableColumn id="8" name="Extended_MSRP"/>
    <x:tableColumn id="9" name="Extended_Cost"/>
    <x:tableColumn id="10" name="License_Entitlement_Qty"/>
    <x:tableColumn id="11" name="Packaging_Model"/>
    <x:tableColumn id="12" name="Source_Page"/>
    <x:tableColumn id="13" name="BOM_Line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gisticsTable" displayName="LogisticsTable" ref="A5:X26" headerRowCount="1" totalsRowCount="0" totalsRowShown="0">
  <x:autoFilter ref="A5:X26"/>
  <x:tableColumns count="24">
    <x:tableColumn id="1" name="Vendor_SKU"/>
    <x:tableColumn id="2" name="Physical_Product_Status"/>
    <x:tableColumn id="3" name="Ship_From_Address"/>
    <x:tableColumn id="4" name="Suggested_UOM"/>
    <x:tableColumn id="5" name="Case_Pack"/>
    <x:tableColumn id="6" name="Order_Multiple"/>
    <x:tableColumn id="7" name="Unit_Length_in"/>
    <x:tableColumn id="8" name="Unit_Width_in"/>
    <x:tableColumn id="9" name="Unit_Height_in"/>
    <x:tableColumn id="10" name="Unit_Weight_lb"/>
    <x:tableColumn id="11" name="Carton_Length_in"/>
    <x:tableColumn id="12" name="Carton_Width_in"/>
    <x:tableColumn id="13" name="Carton_Height_in"/>
    <x:tableColumn id="14" name="Carton_Weight_lb"/>
    <x:tableColumn id="15" name="Pallet_Qty"/>
    <x:tableColumn id="16" name="Lead_Time_Business_Days"/>
    <x:tableColumn id="17" name="Serialized_Flag"/>
    <x:tableColumn id="18" name="Serial_Data_Method"/>
    <x:tableColumn id="19" name="Battery_Included"/>
    <x:tableColumn id="20" name="Freight_Term"/>
    <x:tableColumn id="21" name="Free_Stock_PO_Shipping"/>
    <x:tableColumn id="22" name="Drop_Ship_Flag"/>
    <x:tableColumn id="23" name="Logistics_Status"/>
    <x:tableColumn id="24" name="Open_Issu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lianceTable" displayName="ComplianceTable" ref="A5:P26" headerRowCount="1" totalsRowCount="0" totalsRowShown="0">
  <x:autoFilter ref="A5:P26"/>
  <x:tableColumns count="16">
    <x:tableColumn id="1" name="Vendor_SKU"/>
    <x:tableColumn id="2" name="Final_Assembly_COO"/>
    <x:tableColumn id="3" name="Component_COO_Document"/>
    <x:tableColumn id="4" name="HTSUS"/>
    <x:tableColumn id="5" name="Schedule_B"/>
    <x:tableColumn id="6" name="ECCN"/>
    <x:tableColumn id="7" name="USML_Status"/>
    <x:tableColumn id="8" name="FCC_ID"/>
    <x:tableColumn id="9" name="Bluetooth_QDID"/>
    <x:tableColumn id="10" name="UL_ETL_Status"/>
    <x:tableColumn id="11" name="Prop65_Status"/>
    <x:tableColumn id="12" name="UN38_3_Status"/>
    <x:tableColumn id="13" name="SDS_Status"/>
    <x:tableColumn id="14" name="Compliance_Evidence"/>
    <x:tableColumn id="15" name="Compliance_Status"/>
    <x:tableColumn id="16" name="Open_Issu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arrantyRMATable" displayName="WarrantyRMATable" ref="A5:P26" headerRowCount="1" totalsRowCount="0" totalsRowShown="0">
  <x:autoFilter ref="A5:P26"/>
  <x:tableColumns count="16">
    <x:tableColumn id="1" name="Vendor_SKU"/>
    <x:tableColumn id="2" name="Warranty_Months"/>
    <x:tableColumn id="3" name="Warranty_Type"/>
    <x:tableColumn id="4" name="DOA_Window_Days"/>
    <x:tableColumn id="5" name="Digital_Return_Policy"/>
    <x:tableColumn id="6" name="Support_Email"/>
    <x:tableColumn id="7" name="Support_Phone"/>
    <x:tableColumn id="8" name="RMA_Email"/>
    <x:tableColumn id="9" name="Return_Address"/>
    <x:tableColumn id="10" name="RMA_SLA_Min_Days"/>
    <x:tableColumn id="11" name="RMA_SLA_Max_Days"/>
    <x:tableColumn id="12" name="Vendor_Pays_Return_Freight"/>
    <x:tableColumn id="13" name="B&amp;H_Provides_Warranty_Service"/>
    <x:tableColumn id="14" name="Stock_Balancing_Returnable"/>
    <x:tableColumn id="15" name="Warranty_Document"/>
    <x:tableColumn id="16" name="Warranty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rmsApprovalsTable" displayName="TermsApprovalsTable" ref="A5:H32" headerRowCount="1" totalsRowCount="0" totalsRowShown="0">
  <x:autoFilter ref="A5:H32"/>
  <x:tableColumns count="8">
    <x:tableColumn id="1" name="Area"/>
    <x:tableColumn id="2" name="Term"/>
    <x:tableColumn id="3" name="Agreed_or_Proposed_Value"/>
    <x:tableColumn id="4" name="Status"/>
    <x:tableColumn id="5" name="Effective_Date"/>
    <x:tableColumn id="6" name="Contract_Reference"/>
    <x:tableColumn id="7" name="Operational_Action"/>
    <x:tableColumn id="8" name="Evidence_or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f93d1ac0284e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7dd899e40f43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ae718b160e4a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e136a1ee2c4a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89893a2d3f40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ad2308abaa4d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02a3c9744447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4" hidden="0" customWidth="1"/>
    <x:col min="5" max="5" width="22" hidden="0" customWidth="1"/>
    <x:col min="6" max="6" width="32" hidden="0" customWidth="1"/>
    <x:col min="7" max="7" width="34" hidden="0" customWidth="1"/>
    <x:col min="8" max="8" width="4" hidden="0" customWidth="1"/>
  </x:cols>
  <x:sheetData>
    <x:row r="1" ht="30" customHeight="1">
      <x:c r="A1" s="3" t="str">
        <x:v>IDMA / B&amp;H Procurement Item Master 2026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Controlled procurement workbook | Version 1.0 | Signed KTS + Price Schedule IDMA-BH-PS-2026-01 v3.5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TOTAL SKUs</x:v>
      </x:c>
      <x:c r="B4" s="10" t="str"/>
      <x:c r="C4" s="10" t="str">
        <x:v>BUNDLE SKUs</x:v>
      </x:c>
      <x:c r="D4" s="10" t="str"/>
      <x:c r="E4" s="10" t="str">
        <x:v>ITEMS TBD</x:v>
      </x:c>
      <x:c r="F4" s="10" t="str"/>
      <x:c r="G4" s="10" t="str">
        <x:v>CRITICAL HOLDS</x:v>
      </x:c>
      <x:c r="H4" s="10" t="str"/>
    </x:row>
    <x:row r="5">
      <x:c r="A5" s="14" t="n">
        <x:f>COUNTA('01_Item_Master'!$B$6:$B$26)</x:f>
        <x:v>21</x:v>
      </x:c>
      <x:c r="C5" s="14" t="n">
        <x:f>COUNTIF('01_Item_Master'!$E$6:$E$26,"Bundle")</x:f>
        <x:v>11</x:v>
      </x:c>
      <x:c r="E5" s="14" t="n">
        <x:f>COUNTIF('01_Item_Master'!$T$6:$T$26,"TBD")</x:f>
        <x:v>21</x:v>
      </x:c>
      <x:c r="G5" s="14" t="n">
        <x:f>COUNTIF('99_Lists_QA'!$D$6:$D$18,"HOLD")+COUNTIF('07_Terms_Approvals'!$D$6:$D$40,"Action Required")</x:f>
        <x:v>4</x:v>
      </x:c>
    </x:row>
    <x:row r="7">
      <x:c r="A7" s="16" t="str">
        <x:v>Purpose and operating rule</x:v>
      </x:c>
      <x:c r="B7" s="16"/>
      <x:c r="C7" s="16"/>
      <x:c r="D7" s="16"/>
      <x:c r="E7" s="16"/>
      <x:c r="F7" s="16"/>
      <x:c r="G7" s="16"/>
      <x:c r="H7" s="16"/>
    </x:row>
    <x:row r="8">
      <x:c r="A8" s="34" t="str">
        <x:v>Use this workbook as the source of truth for B&amp;H item setup, pricing approval, logistics, compliance, warranty/RMA, and program acceptance. Numeric/date cells remain blank when unknown; the adjacent status field carries TBD or N/A so formulas remain auditable. Signed Agreement terms control over conflicting vendor price-list language.</x:v>
      </x:c>
      <x:c r="B8" s="35"/>
      <x:c r="C8" s="35"/>
      <x:c r="D8" s="35"/>
      <x:c r="E8" s="35"/>
      <x:c r="F8" s="35"/>
      <x:c r="G8" s="35"/>
      <x:c r="H8" s="36"/>
    </x:row>
    <x:row r="9">
      <x:c r="A9" s="37"/>
      <x:c r="B9" s="38"/>
      <x:c r="C9" s="38"/>
      <x:c r="D9" s="38"/>
      <x:c r="E9" s="38"/>
      <x:c r="F9" s="38"/>
      <x:c r="G9" s="38"/>
      <x:c r="H9" s="39"/>
    </x:row>
    <x:row r="10">
      <x:c r="A10" s="37"/>
      <x:c r="B10" s="38"/>
      <x:c r="C10" s="38"/>
      <x:c r="D10" s="38"/>
      <x:c r="E10" s="38"/>
      <x:c r="F10" s="38"/>
      <x:c r="G10" s="38"/>
      <x:c r="H10" s="39"/>
    </x:row>
    <x:row r="11">
      <x:c r="A11" s="40"/>
      <x:c r="B11" s="41"/>
      <x:c r="C11" s="41"/>
      <x:c r="D11" s="41"/>
      <x:c r="E11" s="41"/>
      <x:c r="F11" s="41"/>
      <x:c r="G11" s="41"/>
      <x:c r="H11" s="42"/>
    </x:row>
    <x:row r="13" ht="32" customHeight="1">
      <x:c r="A13" s="46" t="str">
        <x:v>Status</x:v>
      </x:c>
      <x:c r="B13" s="46" t="str">
        <x:v>Meaning</x:v>
      </x:c>
      <x:c r="C13" s="46" t="str">
        <x:v>Use</x:v>
      </x:c>
      <x:c r="D13" s="46" t="str"/>
      <x:c r="E13" s="46" t="str">
        <x:v>Sheet</x:v>
      </x:c>
      <x:c r="F13" s="46" t="str">
        <x:v>Purpose</x:v>
      </x:c>
      <x:c r="G13" s="46" t="str">
        <x:v>Owner action</x:v>
      </x:c>
      <x:c r="H13" s="46" t="str"/>
    </x:row>
    <x:row r="14">
      <x:c r="A14" s="50" t="str">
        <x:v>Confirmed</x:v>
      </x:c>
      <x:c r="B14" s="50" t="str">
        <x:v>Source-backed value</x:v>
      </x:c>
      <x:c r="C14" s="50" t="str">
        <x:v>Ready for use</x:v>
      </x:c>
      <x:c r="D14" s="50" t="str"/>
      <x:c r="E14" s="50" t="str">
        <x:v>01_Item_Master</x:v>
      </x:c>
      <x:c r="F14" s="50" t="str">
        <x:v>One row per sellable/proposed SKU</x:v>
      </x:c>
      <x:c r="G14" s="50" t="str">
        <x:v>Complete identifiers and item attributes</x:v>
      </x:c>
      <x:c r="H14" s="50" t="str"/>
    </x:row>
    <x:row r="15">
      <x:c r="A15" s="51" t="str">
        <x:v>TBD</x:v>
      </x:c>
      <x:c r="B15" s="51" t="str">
        <x:v>Required but unknown</x:v>
      </x:c>
      <x:c r="C15" s="51" t="str">
        <x:v>Do not infer</x:v>
      </x:c>
      <x:c r="D15" s="51" t="str"/>
      <x:c r="E15" s="51" t="str">
        <x:v>02_Pricing</x:v>
      </x:c>
      <x:c r="F15" s="51" t="str">
        <x:v>Time-bound price and program status</x:v>
      </x:c>
      <x:c r="G15" s="51" t="str">
        <x:v>Resolve notice date and acceptance</x:v>
      </x:c>
      <x:c r="H15" s="51" t="str"/>
    </x:row>
    <x:row r="16">
      <x:c r="A16" s="51" t="str">
        <x:v>N/A</x:v>
      </x:c>
      <x:c r="B16" s="51" t="str">
        <x:v>Confirmed not applicable</x:v>
      </x:c>
      <x:c r="C16" s="51" t="str">
        <x:v>Must have rationale</x:v>
      </x:c>
      <x:c r="D16" s="51" t="str"/>
      <x:c r="E16" s="51" t="str">
        <x:v>03_Bundle_BOM</x:v>
      </x:c>
      <x:c r="F16" s="51" t="str">
        <x:v>Bundle-to-component mapping</x:v>
      </x:c>
      <x:c r="G16" s="51" t="str">
        <x:v>Confirm packaging and license entitlements</x:v>
      </x:c>
      <x:c r="H16" s="51" t="str"/>
    </x:row>
    <x:row r="17">
      <x:c r="A17" s="51" t="str">
        <x:v>Not Accepted</x:v>
      </x:c>
      <x:c r="B17" s="51" t="str">
        <x:v>Program not evidenced as accepted</x:v>
      </x:c>
      <x:c r="C17" s="51" t="str">
        <x:v>No contractual use yet</x:v>
      </x:c>
      <x:c r="D17" s="51" t="str"/>
      <x:c r="E17" s="51" t="str">
        <x:v>04-06 domain sheets</x:v>
      </x:c>
      <x:c r="F17" s="51" t="str">
        <x:v>Operational readiness</x:v>
      </x:c>
      <x:c r="G17" s="51" t="str">
        <x:v>Supply logistics/compliance/warranty data</x:v>
      </x:c>
      <x:c r="H17" s="51" t="str"/>
    </x:row>
    <x:row r="18">
      <x:c r="A18" s="51" t="str">
        <x:v>Hold</x:v>
      </x:c>
      <x:c r="B18" s="51" t="str">
        <x:v>Blocks activation or PO readiness</x:v>
      </x:c>
      <x:c r="C18" s="51" t="str">
        <x:v>Resolve before launch</x:v>
      </x:c>
      <x:c r="D18" s="51" t="str"/>
      <x:c r="E18" s="51" t="str">
        <x:v>07_Terms_Approvals</x:v>
      </x:c>
      <x:c r="F18" s="51" t="str">
        <x:v>Signed terms and approvals</x:v>
      </x:c>
      <x:c r="G18" s="51" t="str">
        <x:v>Attach evidence</x:v>
      </x:c>
      <x:c r="H18" s="51" t="str"/>
    </x:row>
    <x:row r="19">
      <x:c r="A19" s="51" t="str">
        <x:v>PASS / READY</x:v>
      </x:c>
      <x:c r="B19" s="51" t="str">
        <x:v>Formula check passed</x:v>
      </x:c>
      <x:c r="C19" s="51" t="str">
        <x:v>No exception detected</x:v>
      </x:c>
      <x:c r="D19" s="51" t="str"/>
      <x:c r="E19" s="51" t="str">
        <x:v>99_Lists_QA</x:v>
      </x:c>
      <x:c r="F19" s="51" t="str">
        <x:v>Automated quality checks</x:v>
      </x:c>
      <x:c r="G19" s="51" t="str">
        <x:v>Clear HOLD/REVIEW items</x:v>
      </x:c>
      <x:c r="H19" s="51" t="str"/>
    </x:row>
    <x:row r="21">
      <x:c r="A21" s="16" t="str">
        <x:v>Current critical holds</x:v>
      </x:c>
      <x:c r="B21" s="16"/>
      <x:c r="C21" s="16"/>
      <x:c r="D21" s="16"/>
      <x:c r="E21" s="16"/>
      <x:c r="F21" s="16"/>
      <x:c r="G21" s="16"/>
      <x:c r="H21" s="16"/>
    </x:row>
    <x:row r="22">
      <x:c r="A22" s="63" t="str">
        <x:v>1</x:v>
      </x:c>
      <x:c r="B22" s="64" t="str">
        <x:v>2026-08-17 stated effective date remains on hold until the KTS 30-day notice evidence is entered.</x:v>
      </x:c>
      <x:c r="C22" s="64" t="str"/>
      <x:c r="D22" s="64" t="str"/>
      <x:c r="E22" s="64" t="str"/>
      <x:c r="F22" s="64" t="str"/>
      <x:c r="G22" s="64" t="str"/>
      <x:c r="H22" s="65" t="str"/>
    </x:row>
    <x:row r="23">
      <x:c r="A23" s="66" t="str">
        <x:v>2</x:v>
      </x:c>
      <x:c r="B23" s="67" t="str">
        <x:v>Quarterly rebate and MAP Addenda have no supplied B&amp;H acceptance evidence.</x:v>
      </x:c>
      <x:c r="C23" s="67" t="str"/>
      <x:c r="D23" s="67" t="str"/>
      <x:c r="E23" s="67" t="str"/>
      <x:c r="F23" s="67" t="str"/>
      <x:c r="G23" s="67" t="str"/>
      <x:c r="H23" s="68" t="str"/>
    </x:row>
    <x:row r="24">
      <x:c r="A24" s="66" t="str">
        <x:v>3</x:v>
      </x:c>
      <x:c r="B24" s="67" t="str">
        <x:v>Missing item setup, logistics, compliance, warranty, and software-license fields remain TBD.</x:v>
      </x:c>
      <x:c r="C24" s="67" t="str"/>
      <x:c r="D24" s="67" t="str"/>
      <x:c r="E24" s="67" t="str"/>
      <x:c r="F24" s="67" t="str"/>
      <x:c r="G24" s="67" t="str"/>
      <x:c r="H24" s="68" t="str"/>
    </x:row>
    <x:row r="25">
      <x:c r="A25" s="66" t="str">
        <x:v>4</x:v>
      </x:c>
      <x:c r="B25" s="67" t="str">
        <x:v>Section 17 insurance certificate: $5M and B&amp;H additional insured/certificate holder evidence is required.</x:v>
      </x:c>
      <x:c r="C25" s="67" t="str"/>
      <x:c r="D25" s="67" t="str"/>
      <x:c r="E25" s="67" t="str"/>
      <x:c r="F25" s="67" t="str"/>
      <x:c r="G25" s="67" t="str"/>
      <x:c r="H25" s="68" t="str"/>
    </x:row>
    <x:row r="26">
      <x:c r="A26" s="78" t="str">
        <x:v>RESOLVED</x:v>
      </x:c>
      <x:c r="B26" s="78" t="str">
        <x:v>Controlled Price Schedule IDMA-BH-PS-2026-01 v3.5 supersedes the legacy v2.1 / footer v3.4 mismatch.</x:v>
      </x:c>
      <x:c r="C26" s="78" t="str"/>
      <x:c r="D26" s="78" t="str"/>
      <x:c r="E26" s="78" t="str"/>
      <x:c r="F26" s="78" t="str"/>
      <x:c r="G26" s="78" t="str"/>
      <x:c r="H26" s="78" t="str"/>
    </x:row>
    <x:row r="28">
      <x:c r="A28" s="80" t="str">
        <x:v>Current price source: IDMA-BH-PS-2026-01 v3.5 (Controlled Price Schedule) | Legacy source: IDMA INTERNATIONAL LTD - BH Retail Partner Price List 2026 (v2.1)_1.pdf (superseded) | Agreement: Vendor Agreement - B&amp;H &amp; IDMA International Ltd.pdf | https://www.bandh.com/terms%26conditions</x:v>
      </x:c>
      <x:c r="B28" s="80"/>
      <x:c r="C28" s="80"/>
      <x:c r="D28" s="80"/>
      <x:c r="E28" s="80"/>
      <x:c r="F28" s="80"/>
      <x:c r="G28" s="80"/>
      <x:c r="H28" s="80"/>
    </x:row>
    <x:row r="30">
      <x:c r="A30" s="16" t="str">
        <x:v>Vendor legal identity and contact points</x:v>
      </x:c>
      <x:c r="B30" s="16"/>
      <x:c r="C30" s="16"/>
      <x:c r="D30" s="16"/>
      <x:c r="E30" s="16"/>
      <x:c r="F30" s="16"/>
      <x:c r="G30" s="16"/>
      <x:c r="H30" s="16"/>
    </x:row>
    <x:row r="31">
      <x:c r="A31" s="84" t="str">
        <x:v>Legal entity</x:v>
      </x:c>
      <x:c r="B31" s="84"/>
      <x:c r="C31" s="88" t="str">
        <x:v>IDMA INTERNATIONAL LTD</x:v>
      </x:c>
      <x:c r="D31" s="88"/>
      <x:c r="E31" s="88"/>
      <x:c r="F31" s="88"/>
      <x:c r="G31" s="88"/>
      <x:c r="H31" s="88"/>
    </x:row>
    <x:row r="32" ht="28" customHeight="1">
      <x:c r="A32" s="84" t="str">
        <x:v>Registered office</x:v>
      </x:c>
      <x:c r="B32" s="84"/>
      <x:c r="C32" s="88" t="str">
        <x:v>71-75 Shelton Street, Covent Garden, London, WC2H 9JQ, United Kingdom</x:v>
      </x:c>
      <x:c r="D32" s="88"/>
      <x:c r="E32" s="88"/>
      <x:c r="F32" s="88"/>
      <x:c r="G32" s="88"/>
      <x:c r="H32" s="88"/>
    </x:row>
    <x:row r="33" ht="28" customHeight="1">
      <x:c r="A33" s="84"/>
      <x:c r="B33" s="84"/>
      <x:c r="C33" s="88"/>
      <x:c r="D33" s="88"/>
      <x:c r="E33" s="88"/>
      <x:c r="F33" s="88"/>
      <x:c r="G33" s="88"/>
      <x:c r="H33" s="88"/>
    </x:row>
    <x:row r="34">
      <x:c r="A34" s="84" t="str">
        <x:v>Company number</x:v>
      </x:c>
      <x:c r="B34" s="84"/>
      <x:c r="C34" s="89" t="str">
        <x:v>16130965</x:v>
      </x:c>
      <x:c r="D34" s="89"/>
      <x:c r="E34" s="89"/>
      <x:c r="F34" s="89"/>
      <x:c r="G34" s="89"/>
      <x:c r="H34" s="89"/>
    </x:row>
    <x:row r="35">
      <x:c r="A35" s="84" t="str">
        <x:v>Business description</x:v>
      </x:c>
      <x:c r="B35" s="84"/>
      <x:c r="C35" s="88" t="str">
        <x:v>Smart handwriting &amp; interactive learning ecosystem</x:v>
      </x:c>
      <x:c r="D35" s="88"/>
      <x:c r="E35" s="88"/>
      <x:c r="F35" s="88"/>
      <x:c r="G35" s="88"/>
      <x:c r="H35" s="88"/>
    </x:row>
    <x:row r="36">
      <x:c r="A36" s="84" t="str">
        <x:v>General email</x:v>
      </x:c>
      <x:c r="B36" s="84"/>
      <x:c r="C36" s="88" t="str">
        <x:v>contact@idma.ai</x:v>
      </x:c>
      <x:c r="D36" s="88"/>
      <x:c r="E36" s="88" t="str">
        <x:v>General phone</x:v>
      </x:c>
      <x:c r="F36" s="88"/>
      <x:c r="G36" s="89" t="str">
        <x:v>+44 7547 237151</x:v>
      </x:c>
      <x:c r="H36" s="89"/>
    </x:row>
    <x:row r="37" ht="34" customHeight="1">
      <x:c r="A37" s="84" t="str">
        <x:v>U.S. contact point</x:v>
      </x:c>
      <x:c r="B37" s="84"/>
      <x:c r="C37" s="88" t="str">
        <x:v>4969 Corral St., Simi Valley, CA 93063, USA | Address only. Correspondence/contact point only; not the registered office, ship-from address, or RMA return address unless separately confirmed.</x:v>
      </x:c>
      <x:c r="D37" s="88"/>
      <x:c r="E37" s="88"/>
      <x:c r="F37" s="88"/>
      <x:c r="G37" s="88"/>
      <x:c r="H37" s="88"/>
    </x:row>
    <x:row r="38" ht="34" customHeight="1">
      <x:c r="A38" s="84"/>
      <x:c r="B38" s="84"/>
      <x:c r="C38" s="88"/>
      <x:c r="D38" s="88"/>
      <x:c r="E38" s="88"/>
      <x:c r="F38" s="88"/>
      <x:c r="G38" s="88"/>
      <x:c r="H38" s="88"/>
    </x:row>
    <x:row r="39">
      <x:c r="A39" s="84" t="str">
        <x:v>Existing B&amp;H Vendor / AR contact</x:v>
      </x:c>
      <x:c r="B39" s="84"/>
      <x:c r="C39" s="88" t="str">
        <x:v>Amber Li | manager@idma.cc | +1 805-405-8787 | Retained from the executed KTS unless updated through the Agreement process.</x:v>
      </x:c>
      <x:c r="D39" s="88"/>
      <x:c r="E39" s="88"/>
      <x:c r="F39" s="88"/>
      <x:c r="G39" s="88"/>
      <x:c r="H39" s="88"/>
    </x:row>
  </x:sheetData>
  <x:mergeCells>
    <x:mergeCell ref="A1:H1"/>
    <x:mergeCell ref="A2:H2"/>
    <x:mergeCell ref="A7:H7"/>
    <x:mergeCell ref="A8:H11"/>
    <x:mergeCell ref="A21:H21"/>
    <x:mergeCell ref="A28:H28"/>
    <x:mergeCell ref="A30:H30"/>
    <x:mergeCell ref="A31:B31"/>
    <x:mergeCell ref="C31:H31"/>
    <x:mergeCell ref="A34:B34"/>
    <x:mergeCell ref="C34:H34"/>
    <x:mergeCell ref="A35:B35"/>
    <x:mergeCell ref="C35:H35"/>
    <x:mergeCell ref="A32:B33"/>
    <x:mergeCell ref="C32:H33"/>
    <x:mergeCell ref="A36:B36"/>
    <x:mergeCell ref="C36:D36"/>
    <x:mergeCell ref="E36:F36"/>
    <x:mergeCell ref="G36:H36"/>
    <x:mergeCell ref="A37:B38"/>
    <x:mergeCell ref="C37:H38"/>
    <x:mergeCell ref="A39:B39"/>
    <x:mergeCell ref="C39:H39"/>
  </x:mergeCells>
  <x:conditionalFormatting sqref="A14:A19">
    <x:cfRule type="containsText" dxfId="0" priority="1" operator="containsText" text="TBD"/>
    <x:cfRule type="containsText" dxfId="1" priority="2" operator="containsText" text="REVIEW"/>
    <x:cfRule type="containsText" dxfId="2" priority="3" operator="containsText" text="Hold"/>
    <x:cfRule type="containsText" dxfId="3" priority="4" operator="containsText" text="HOLD"/>
    <x:cfRule type="containsText" dxfId="4" priority="5" operator="containsText" text="FAIL"/>
    <x:cfRule type="containsText" dxfId="5" priority="6" operator="containsText" text="Not Accepted"/>
    <x:cfRule type="containsText" dxfId="6" priority="7" operator="containsText" text="N/A"/>
    <x:cfRule type="containsText" dxfId="7" priority="8" operator="containsText" text="Superseded"/>
    <x:cfRule type="containsText" dxfId="8" priority="9" operator="containsText" text="PASS"/>
    <x:cfRule type="containsText" dxfId="9" priority="10" operator="containsText" text="READY"/>
    <x:cfRule type="containsText" dxfId="10" priority="11" operator="containsText" text="Accepted"/>
    <x:cfRule type="containsText" dxfId="11" priority="12" operator="containsText" text="Confirm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10" hidden="0" customWidth="1"/>
    <x:col min="5" max="5" width="12" hidden="0" customWidth="1"/>
    <x:col min="6" max="6" width="24" hidden="0" customWidth="1"/>
    <x:col min="7" max="7" width="46" hidden="0" customWidth="1"/>
    <x:col min="8" max="8" width="13" hidden="0" customWidth="1"/>
    <x:col min="9" max="9" width="14" hidden="0" customWidth="1"/>
    <x:col min="10" max="10" width="13" hidden="0" customWidth="1"/>
    <x:col min="11" max="11" width="17" hidden="0" customWidth="1"/>
    <x:col min="12" max="12" width="13" hidden="0" customWidth="1"/>
    <x:col min="13" max="13" width="19" hidden="0" customWidth="1"/>
    <x:col min="14" max="14" width="17" hidden="0" customWidth="1"/>
    <x:col min="15" max="15" width="18" hidden="0" customWidth="1"/>
    <x:col min="16" max="16" width="15" hidden="0" customWidth="1"/>
    <x:col min="17" max="17" width="15" hidden="0" customWidth="1"/>
    <x:col min="18" max="18" width="15" hidden="0" customWidth="1"/>
    <x:col min="19" max="19" width="11" hidden="0" customWidth="1"/>
    <x:col min="20" max="20" width="15" hidden="0" customWidth="1"/>
    <x:col min="21" max="21" width="56" hidden="0" customWidth="1"/>
    <x:col min="22" max="22" width="46" hidden="0" customWidth="1"/>
  </x:cols>
  <x:sheetData>
    <x:row r="1" ht="30" customHeight="1">
      <x:c r="A1" s="3" t="str">
        <x:v>01 - Item Master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One row per price-list SKU. Suggested UOM is not confirmed; UPC values are stored as text.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5" ht="32" customHeight="1">
      <x:c r="A5" s="46" t="str">
        <x:v>Record_Status</x:v>
      </x:c>
      <x:c r="B5" s="46" t="str">
        <x:v>Vendor_SKU</x:v>
      </x:c>
      <x:c r="C5" s="46" t="str">
        <x:v>MPN</x:v>
      </x:c>
      <x:c r="D5" s="46" t="str">
        <x:v>Brand</x:v>
      </x:c>
      <x:c r="E5" s="46" t="str">
        <x:v>Item_Type</x:v>
      </x:c>
      <x:c r="F5" s="46" t="str">
        <x:v>Category</x:v>
      </x:c>
      <x:c r="G5" s="46" t="str">
        <x:v>Product_Name</x:v>
      </x:c>
      <x:c r="H5" s="46" t="str">
        <x:v>Sellable_Flag</x:v>
      </x:c>
      <x:c r="I5" s="46" t="str">
        <x:v>Suggested_UOM</x:v>
      </x:c>
      <x:c r="J5" s="46" t="str">
        <x:v>UOM_Status</x:v>
      </x:c>
      <x:c r="K5" s="46" t="str">
        <x:v>UPC_GTIN12</x:v>
      </x:c>
      <x:c r="L5" s="46" t="str">
        <x:v>UPC_Status</x:v>
      </x:c>
      <x:c r="M5" s="46" t="str">
        <x:v>GS1_Owner_Verified</x:v>
      </x:c>
      <x:c r="N5" s="46" t="str">
        <x:v>UPC_Format_Check</x:v>
      </x:c>
      <x:c r="O5" s="46" t="str">
        <x:v>Fulfillment_Type</x:v>
      </x:c>
      <x:c r="P5" s="46" t="str">
        <x:v>Serialized_Flag</x:v>
      </x:c>
      <x:c r="Q5" s="46" t="str">
        <x:v>Battery_Included</x:v>
      </x:c>
      <x:c r="R5" s="46" t="str">
        <x:v>Lifecycle_Status</x:v>
      </x:c>
      <x:c r="S5" s="46" t="str">
        <x:v>Source_Page</x:v>
      </x:c>
      <x:c r="T5" s="46" t="str">
        <x:v>Data_Readiness</x:v>
      </x:c>
      <x:c r="U5" s="46" t="str">
        <x:v>Open_Issues</x:v>
      </x:c>
      <x:c r="V5" s="46" t="str">
        <x:v>Source_File</x:v>
      </x:c>
    </x:row>
    <x:row r="6">
      <x:c r="A6" s="50" t="str">
        <x:v>TBD</x:v>
      </x:c>
      <x:c r="B6" s="50" t="str">
        <x:v>PP-100</x:v>
      </x:c>
      <x:c r="C6" s="50" t="str">
        <x:v>TBD</x:v>
      </x:c>
      <x:c r="D6" s="50" t="str">
        <x:v>IDMA</x:v>
      </x:c>
      <x:c r="E6" s="50" t="str">
        <x:v>Hardware</x:v>
      </x:c>
      <x:c r="F6" s="50" t="str">
        <x:v>Handwriting Notebook</x:v>
      </x:c>
      <x:c r="G6" s="92" t="str">
        <x:v>Paper-Pen Digital Meeting Assistant (Vertical / Leather)</x:v>
      </x:c>
      <x:c r="H6" s="50" t="str">
        <x:v>Yes</x:v>
      </x:c>
      <x:c r="I6" s="50" t="str">
        <x:v>EA</x:v>
      </x:c>
      <x:c r="J6" s="50" t="str">
        <x:v>TBD</x:v>
      </x:c>
      <x:c r="K6" s="90" t="str">
        <x:f>TEXT(797457966187,"0")</x:f>
        <x:v>797457966187</x:v>
      </x:c>
      <x:c r="L6" s="50" t="str">
        <x:v>Provided</x:v>
      </x:c>
      <x:c r="M6" s="50" t="str">
        <x:v>TBD</x:v>
      </x:c>
      <x:c r="N6" s="50" t="str">
        <x:f>IF(K6="","MISSING",IF(AND(LEN(K6)=12,MOD((VALUE(MID(K6,1,1))+VALUE(MID(K6,3,1))+VALUE(MID(K6,5,1))+VALUE(MID(K6,7,1))+VALUE(MID(K6,9,1))+VALUE(MID(K6,11,1)))*3+VALUE(MID(K6,2,1))+VALUE(MID(K6,4,1))+VALUE(MID(K6,6,1))+VALUE(MID(K6,8,1))+VALUE(MID(K6,10,1))+VALUE(MID(K6,12,1)),10)=0),"PASS","FAIL"))</x:f>
        <x:v>PASS</x:v>
      </x:c>
      <x:c r="O6" s="50" t="str">
        <x:v>Physical</x:v>
      </x:c>
      <x:c r="P6" s="50" t="str">
        <x:v>TBD</x:v>
      </x:c>
      <x:c r="Q6" s="50" t="str">
        <x:v>TBD</x:v>
      </x:c>
      <x:c r="R6" s="50" t="str">
        <x:v>Proposed</x:v>
      </x:c>
      <x:c r="S6" s="90" t="n">
        <x:v>1</x:v>
      </x:c>
      <x:c r="T6" s="50" t="str">
        <x:f>IF(B6="","FAIL",IF(OR(J6="TBD",L6="TBD",M6="TBD",O6="TBD",P6="TBD",Q6="TBD"),"TBD","READY"))</x:f>
        <x:v>TBD</x:v>
      </x:c>
      <x:c r="U6" s="92" t="str">
        <x:v>GS1 ownership, MPN, UOM, serialization, battery status, packaging, and regulatory data are TBD.</x:v>
      </x:c>
      <x:c r="V6" s="92" t="str">
        <x:v>IDMA-BH-PS-2026-01 v3.5 (Controlled Price Schedule)</x:v>
      </x:c>
    </x:row>
    <x:row r="7">
      <x:c r="A7" s="51" t="str">
        <x:v>TBD</x:v>
      </x:c>
      <x:c r="B7" s="51" t="str">
        <x:v>PP-110</x:v>
      </x:c>
      <x:c r="C7" s="51" t="str">
        <x:v>TBD</x:v>
      </x:c>
      <x:c r="D7" s="51" t="str">
        <x:v>IDMA</x:v>
      </x:c>
      <x:c r="E7" s="51" t="str">
        <x:v>Hardware</x:v>
      </x:c>
      <x:c r="F7" s="51" t="str">
        <x:v>Handwriting Notebook</x:v>
      </x:c>
      <x:c r="G7" s="93" t="str">
        <x:v>Paper-Pen Digital Meeting Assistant (Horizontal A4 / Leather)</x:v>
      </x:c>
      <x:c r="H7" s="51" t="str">
        <x:v>Yes</x:v>
      </x:c>
      <x:c r="I7" s="51" t="str">
        <x:v>EA</x:v>
      </x:c>
      <x:c r="J7" s="51" t="str">
        <x:v>TBD</x:v>
      </x:c>
      <x:c r="K7" s="91" t="str">
        <x:f>TEXT(739719316682,"0")</x:f>
        <x:v>739719316682</x:v>
      </x:c>
      <x:c r="L7" s="51" t="str">
        <x:v>Provided</x:v>
      </x:c>
      <x:c r="M7" s="51" t="str">
        <x:v>TBD</x:v>
      </x:c>
      <x:c r="N7" s="51" t="str">
        <x:f>IF(K7="","MISSING",IF(AND(LEN(K7)=12,MOD((VALUE(MID(K7,1,1))+VALUE(MID(K7,3,1))+VALUE(MID(K7,5,1))+VALUE(MID(K7,7,1))+VALUE(MID(K7,9,1))+VALUE(MID(K7,11,1)))*3+VALUE(MID(K7,2,1))+VALUE(MID(K7,4,1))+VALUE(MID(K7,6,1))+VALUE(MID(K7,8,1))+VALUE(MID(K7,10,1))+VALUE(MID(K7,12,1)),10)=0),"PASS","FAIL"))</x:f>
        <x:v>PASS</x:v>
      </x:c>
      <x:c r="O7" s="51" t="str">
        <x:v>Physical</x:v>
      </x:c>
      <x:c r="P7" s="51" t="str">
        <x:v>TBD</x:v>
      </x:c>
      <x:c r="Q7" s="51" t="str">
        <x:v>TBD</x:v>
      </x:c>
      <x:c r="R7" s="51" t="str">
        <x:v>Proposed</x:v>
      </x:c>
      <x:c r="S7" s="91" t="n">
        <x:v>1</x:v>
      </x:c>
      <x:c r="T7" s="51" t="str">
        <x:f>IF(B7="","FAIL",IF(OR(J7="TBD",L7="TBD",M7="TBD",O7="TBD",P7="TBD",Q7="TBD"),"TBD","READY"))</x:f>
        <x:v>TBD</x:v>
      </x:c>
      <x:c r="U7" s="93" t="str">
        <x:v>GS1 ownership, MPN, UOM, serialization, battery status, packaging, and regulatory data are TBD.</x:v>
      </x:c>
      <x:c r="V7" s="93" t="str">
        <x:v>IDMA-BH-PS-2026-01 v3.5 (Controlled Price Schedule)</x:v>
      </x:c>
    </x:row>
    <x:row r="8">
      <x:c r="A8" s="51" t="str">
        <x:v>TBD</x:v>
      </x:c>
      <x:c r="B8" s="51" t="str">
        <x:v>PP-120</x:v>
      </x:c>
      <x:c r="C8" s="51" t="str">
        <x:v>TBD</x:v>
      </x:c>
      <x:c r="D8" s="51" t="str">
        <x:v>IDMA</x:v>
      </x:c>
      <x:c r="E8" s="51" t="str">
        <x:v>Hardware</x:v>
      </x:c>
      <x:c r="F8" s="51" t="str">
        <x:v>Handwriting Notebook</x:v>
      </x:c>
      <x:c r="G8" s="93" t="str">
        <x:v>Paper-Pen Digital Meeting Assistant (Vertical / Polymer)</x:v>
      </x:c>
      <x:c r="H8" s="51" t="str">
        <x:v>Yes</x:v>
      </x:c>
      <x:c r="I8" s="51" t="str">
        <x:v>EA</x:v>
      </x:c>
      <x:c r="J8" s="51" t="str">
        <x:v>TBD</x:v>
      </x:c>
      <x:c r="K8" s="91" t="str">
        <x:f>TEXT(739719316590,"0")</x:f>
        <x:v>739719316590</x:v>
      </x:c>
      <x:c r="L8" s="51" t="str">
        <x:v>Provided</x:v>
      </x:c>
      <x:c r="M8" s="51" t="str">
        <x:v>TBD</x:v>
      </x:c>
      <x:c r="N8" s="51" t="str">
        <x:f>IF(K8="","MISSING",IF(AND(LEN(K8)=12,MOD((VALUE(MID(K8,1,1))+VALUE(MID(K8,3,1))+VALUE(MID(K8,5,1))+VALUE(MID(K8,7,1))+VALUE(MID(K8,9,1))+VALUE(MID(K8,11,1)))*3+VALUE(MID(K8,2,1))+VALUE(MID(K8,4,1))+VALUE(MID(K8,6,1))+VALUE(MID(K8,8,1))+VALUE(MID(K8,10,1))+VALUE(MID(K8,12,1)),10)=0),"PASS","FAIL"))</x:f>
        <x:v>PASS</x:v>
      </x:c>
      <x:c r="O8" s="51" t="str">
        <x:v>Physical</x:v>
      </x:c>
      <x:c r="P8" s="51" t="str">
        <x:v>TBD</x:v>
      </x:c>
      <x:c r="Q8" s="51" t="str">
        <x:v>TBD</x:v>
      </x:c>
      <x:c r="R8" s="51" t="str">
        <x:v>Proposed</x:v>
      </x:c>
      <x:c r="S8" s="91" t="n">
        <x:v>1</x:v>
      </x:c>
      <x:c r="T8" s="51" t="str">
        <x:f>IF(B8="","FAIL",IF(OR(J8="TBD",L8="TBD",M8="TBD",O8="TBD",P8="TBD",Q8="TBD"),"TBD","READY"))</x:f>
        <x:v>TBD</x:v>
      </x:c>
      <x:c r="U8" s="93" t="str">
        <x:v>GS1 ownership, MPN, UOM, serialization, battery status, packaging, and regulatory data are TBD.</x:v>
      </x:c>
      <x:c r="V8" s="93" t="str">
        <x:v>IDMA-BH-PS-2026-01 v3.5 (Controlled Price Schedule)</x:v>
      </x:c>
    </x:row>
    <x:row r="9">
      <x:c r="A9" s="51" t="str">
        <x:v>TBD</x:v>
      </x:c>
      <x:c r="B9" s="51" t="str">
        <x:v>GW-210</x:v>
      </x:c>
      <x:c r="C9" s="51" t="str">
        <x:v>TBD</x:v>
      </x:c>
      <x:c r="D9" s="51" t="str">
        <x:v>IDMA</x:v>
      </x:c>
      <x:c r="E9" s="51" t="str">
        <x:v>Hardware</x:v>
      </x:c>
      <x:c r="F9" s="51" t="str">
        <x:v>Gateway</x:v>
      </x:c>
      <x:c r="G9" s="93" t="str">
        <x:v>Screencasting Gateway</x:v>
      </x:c>
      <x:c r="H9" s="51" t="str">
        <x:v>Yes</x:v>
      </x:c>
      <x:c r="I9" s="51" t="str">
        <x:v>EA</x:v>
      </x:c>
      <x:c r="J9" s="51" t="str">
        <x:v>TBD</x:v>
      </x:c>
      <x:c r="K9" s="91" t="str">
        <x:f>TEXT(739719316620,"0")</x:f>
        <x:v>739719316620</x:v>
      </x:c>
      <x:c r="L9" s="51" t="str">
        <x:v>Provided</x:v>
      </x:c>
      <x:c r="M9" s="51" t="str">
        <x:v>TBD</x:v>
      </x:c>
      <x:c r="N9" s="51" t="str">
        <x:f>IF(K9="","MISSING",IF(AND(LEN(K9)=12,MOD((VALUE(MID(K9,1,1))+VALUE(MID(K9,3,1))+VALUE(MID(K9,5,1))+VALUE(MID(K9,7,1))+VALUE(MID(K9,9,1))+VALUE(MID(K9,11,1)))*3+VALUE(MID(K9,2,1))+VALUE(MID(K9,4,1))+VALUE(MID(K9,6,1))+VALUE(MID(K9,8,1))+VALUE(MID(K9,10,1))+VALUE(MID(K9,12,1)),10)=0),"PASS","FAIL"))</x:f>
        <x:v>PASS</x:v>
      </x:c>
      <x:c r="O9" s="51" t="str">
        <x:v>Physical</x:v>
      </x:c>
      <x:c r="P9" s="51" t="str">
        <x:v>TBD</x:v>
      </x:c>
      <x:c r="Q9" s="51" t="str">
        <x:v>TBD</x:v>
      </x:c>
      <x:c r="R9" s="51" t="str">
        <x:v>Proposed</x:v>
      </x:c>
      <x:c r="S9" s="91" t="n">
        <x:v>1</x:v>
      </x:c>
      <x:c r="T9" s="51" t="str">
        <x:f>IF(B9="","FAIL",IF(OR(J9="TBD",L9="TBD",M9="TBD",O9="TBD",P9="TBD",Q9="TBD"),"TBD","READY"))</x:f>
        <x:v>TBD</x:v>
      </x:c>
      <x:c r="U9" s="93" t="str">
        <x:v>GS1 ownership, MPN, UOM, serialization, battery status, packaging, and regulatory data are TBD.</x:v>
      </x:c>
      <x:c r="V9" s="93" t="str">
        <x:v>IDMA-BH-PS-2026-01 v3.5 (Controlled Price Schedule)</x:v>
      </x:c>
    </x:row>
    <x:row r="10">
      <x:c r="A10" s="51" t="str">
        <x:v>TBD</x:v>
      </x:c>
      <x:c r="B10" s="51" t="str">
        <x:v>GW-400</x:v>
      </x:c>
      <x:c r="C10" s="51" t="str">
        <x:v>TBD</x:v>
      </x:c>
      <x:c r="D10" s="51" t="str">
        <x:v>IDMA</x:v>
      </x:c>
      <x:c r="E10" s="51" t="str">
        <x:v>Hardware</x:v>
      </x:c>
      <x:c r="F10" s="51" t="str">
        <x:v>Gateway</x:v>
      </x:c>
      <x:c r="G10" s="93" t="str">
        <x:v>Edge Gateway (AI Agent Embedded)</x:v>
      </x:c>
      <x:c r="H10" s="51" t="str">
        <x:v>Yes</x:v>
      </x:c>
      <x:c r="I10" s="51" t="str">
        <x:v>EA</x:v>
      </x:c>
      <x:c r="J10" s="51" t="str">
        <x:v>TBD</x:v>
      </x:c>
      <x:c r="K10" s="91" t="str">
        <x:f>TEXT(739719316613,"0")</x:f>
        <x:v>739719316613</x:v>
      </x:c>
      <x:c r="L10" s="51" t="str">
        <x:v>Provided</x:v>
      </x:c>
      <x:c r="M10" s="51" t="str">
        <x:v>TBD</x:v>
      </x:c>
      <x:c r="N10" s="51" t="str">
        <x:f>IF(K10="","MISSING",IF(AND(LEN(K10)=12,MOD((VALUE(MID(K10,1,1))+VALUE(MID(K10,3,1))+VALUE(MID(K10,5,1))+VALUE(MID(K10,7,1))+VALUE(MID(K10,9,1))+VALUE(MID(K10,11,1)))*3+VALUE(MID(K10,2,1))+VALUE(MID(K10,4,1))+VALUE(MID(K10,6,1))+VALUE(MID(K10,8,1))+VALUE(MID(K10,10,1))+VALUE(MID(K10,12,1)),10)=0),"PASS","FAIL"))</x:f>
        <x:v>PASS</x:v>
      </x:c>
      <x:c r="O10" s="51" t="str">
        <x:v>Physical</x:v>
      </x:c>
      <x:c r="P10" s="51" t="str">
        <x:v>TBD</x:v>
      </x:c>
      <x:c r="Q10" s="51" t="str">
        <x:v>TBD</x:v>
      </x:c>
      <x:c r="R10" s="51" t="str">
        <x:v>Proposed</x:v>
      </x:c>
      <x:c r="S10" s="91" t="n">
        <x:v>1</x:v>
      </x:c>
      <x:c r="T10" s="51" t="str">
        <x:f>IF(B10="","FAIL",IF(OR(J10="TBD",L10="TBD",M10="TBD",O10="TBD",P10="TBD",Q10="TBD"),"TBD","READY"))</x:f>
        <x:v>TBD</x:v>
      </x:c>
      <x:c r="U10" s="93" t="str">
        <x:v>GS1 ownership, MPN, UOM, serialization, battery status, packaging, and regulatory data are TBD.</x:v>
      </x:c>
      <x:c r="V10" s="93" t="str">
        <x:v>IDMA-BH-PS-2026-01 v3.5 (Controlled Price Schedule)</x:v>
      </x:c>
    </x:row>
    <x:row r="11">
      <x:c r="A11" s="51" t="str">
        <x:v>TBD</x:v>
      </x:c>
      <x:c r="B11" s="51" t="str">
        <x:v>HEM-100</x:v>
      </x:c>
      <x:c r="C11" s="51" t="str">
        <x:v>TBD</x:v>
      </x:c>
      <x:c r="D11" s="51" t="str">
        <x:v>IDMA</x:v>
      </x:c>
      <x:c r="E11" s="51" t="str">
        <x:v>Hardware</x:v>
      </x:c>
      <x:c r="F11" s="51" t="str">
        <x:v>Extension Module</x:v>
      </x:c>
      <x:c r="G11" s="93" t="str">
        <x:v>BLE Handwriting Extension Module</x:v>
      </x:c>
      <x:c r="H11" s="51" t="str">
        <x:v>Yes</x:v>
      </x:c>
      <x:c r="I11" s="51" t="str">
        <x:v>EA</x:v>
      </x:c>
      <x:c r="J11" s="51" t="str">
        <x:v>TBD</x:v>
      </x:c>
      <x:c r="K11" s="91" t="str">
        <x:f>TEXT(739719316637,"0")</x:f>
        <x:v>739719316637</x:v>
      </x:c>
      <x:c r="L11" s="51" t="str">
        <x:v>Provided</x:v>
      </x:c>
      <x:c r="M11" s="51" t="str">
        <x:v>TBD</x:v>
      </x:c>
      <x:c r="N11" s="51" t="str">
        <x:f>IF(K11="","MISSING",IF(AND(LEN(K11)=12,MOD((VALUE(MID(K11,1,1))+VALUE(MID(K11,3,1))+VALUE(MID(K11,5,1))+VALUE(MID(K11,7,1))+VALUE(MID(K11,9,1))+VALUE(MID(K11,11,1)))*3+VALUE(MID(K11,2,1))+VALUE(MID(K11,4,1))+VALUE(MID(K11,6,1))+VALUE(MID(K11,8,1))+VALUE(MID(K11,10,1))+VALUE(MID(K11,12,1)),10)=0),"PASS","FAIL"))</x:f>
        <x:v>PASS</x:v>
      </x:c>
      <x:c r="O11" s="51" t="str">
        <x:v>Physical</x:v>
      </x:c>
      <x:c r="P11" s="51" t="str">
        <x:v>TBD</x:v>
      </x:c>
      <x:c r="Q11" s="51" t="str">
        <x:v>TBD</x:v>
      </x:c>
      <x:c r="R11" s="51" t="str">
        <x:v>Proposed</x:v>
      </x:c>
      <x:c r="S11" s="91" t="n">
        <x:v>1</x:v>
      </x:c>
      <x:c r="T11" s="51" t="str">
        <x:f>IF(B11="","FAIL",IF(OR(J11="TBD",L11="TBD",M11="TBD",O11="TBD",P11="TBD",Q11="TBD"),"TBD","READY"))</x:f>
        <x:v>TBD</x:v>
      </x:c>
      <x:c r="U11" s="93" t="str">
        <x:v>GS1 ownership, MPN, UOM, serialization, battery status, packaging, and regulatory data are TBD.</x:v>
      </x:c>
      <x:c r="V11" s="93" t="str">
        <x:v>IDMA-BH-PS-2026-01 v3.5 (Controlled Price Schedule)</x:v>
      </x:c>
    </x:row>
    <x:row r="12">
      <x:c r="A12" s="51" t="str">
        <x:v>Hold</x:v>
      </x:c>
      <x:c r="B12" s="51" t="str">
        <x:v>SW-OPS</x:v>
      </x:c>
      <x:c r="C12" s="51" t="str">
        <x:v>TBD</x:v>
      </x:c>
      <x:c r="D12" s="51" t="str">
        <x:v>IDMA</x:v>
      </x:c>
      <x:c r="E12" s="51" t="str">
        <x:v>Software</x:v>
      </x:c>
      <x:c r="F12" s="51" t="str">
        <x:v>Software License</x:v>
      </x:c>
      <x:c r="G12" s="93" t="str">
        <x:v>iDma OPS (Classroom Teaching)</x:v>
      </x:c>
      <x:c r="H12" s="51" t="str">
        <x:v>Yes</x:v>
      </x:c>
      <x:c r="I12" s="51" t="str">
        <x:v>LIC</x:v>
      </x:c>
      <x:c r="J12" s="51" t="str">
        <x:v>TBD</x:v>
      </x:c>
      <x:c r="K12" s="91" t="str"/>
      <x:c r="L12" s="51" t="str">
        <x:v>TBD</x:v>
      </x:c>
      <x:c r="M12" s="51" t="str">
        <x:v>TBD</x:v>
      </x:c>
      <x:c r="N12" s="51" t="str">
        <x:f>IF(K12="","MISSING",IF(AND(LEN(K12)=12,MOD((VALUE(MID(K12,1,1))+VALUE(MID(K12,3,1))+VALUE(MID(K12,5,1))+VALUE(MID(K12,7,1))+VALUE(MID(K12,9,1))+VALUE(MID(K12,11,1)))*3+VALUE(MID(K12,2,1))+VALUE(MID(K12,4,1))+VALUE(MID(K12,6,1))+VALUE(MID(K12,8,1))+VALUE(MID(K12,10,1))+VALUE(MID(K12,12,1)),10)=0),"PASS","FAIL"))</x:f>
        <x:v>MISSING</x:v>
      </x:c>
      <x:c r="O12" s="51" t="str">
        <x:v>TBD</x:v>
      </x:c>
      <x:c r="P12" s="51" t="str">
        <x:v>TBD</x:v>
      </x:c>
      <x:c r="Q12" s="51" t="str">
        <x:v>TBD</x:v>
      </x:c>
      <x:c r="R12" s="51" t="str">
        <x:v>Hold</x:v>
      </x:c>
      <x:c r="S12" s="91" t="n">
        <x:v>1</x:v>
      </x:c>
      <x:c r="T12" s="51" t="str">
        <x:f>IF(B12="","FAIL",IF(OR(J12="TBD",L12="TBD",M12="TBD",O12="TBD",P12="TBD",Q12="TBD"),"TBD","READY"))</x:f>
        <x:v>TBD</x:v>
      </x:c>
      <x:c r="U12" s="93" t="str">
        <x:v>HOLD pending B&amp;H-approved digital item setup: identifier, license model/term, activation, fulfillment, and return treatment are TBD.</x:v>
      </x:c>
      <x:c r="V12" s="93" t="str">
        <x:v>IDMA-BH-PS-2026-01 v3.5 (Controlled Price Schedule)</x:v>
      </x:c>
    </x:row>
    <x:row r="13">
      <x:c r="A13" s="51" t="str">
        <x:v>Hold</x:v>
      </x:c>
      <x:c r="B13" s="51" t="str">
        <x:v>SW-CE</x:v>
      </x:c>
      <x:c r="C13" s="51" t="str">
        <x:v>TBD</x:v>
      </x:c>
      <x:c r="D13" s="51" t="str">
        <x:v>IDMA</x:v>
      </x:c>
      <x:c r="E13" s="51" t="str">
        <x:v>Software</x:v>
      </x:c>
      <x:c r="F13" s="51" t="str">
        <x:v>Software License</x:v>
      </x:c>
      <x:c r="G13" s="93" t="str">
        <x:v>iDma Commercial Edition</x:v>
      </x:c>
      <x:c r="H13" s="51" t="str">
        <x:v>Yes</x:v>
      </x:c>
      <x:c r="I13" s="51" t="str">
        <x:v>LIC</x:v>
      </x:c>
      <x:c r="J13" s="51" t="str">
        <x:v>TBD</x:v>
      </x:c>
      <x:c r="K13" s="91" t="str"/>
      <x:c r="L13" s="51" t="str">
        <x:v>TBD</x:v>
      </x:c>
      <x:c r="M13" s="51" t="str">
        <x:v>TBD</x:v>
      </x:c>
      <x:c r="N13" s="51" t="str">
        <x:f>IF(K13="","MISSING",IF(AND(LEN(K13)=12,MOD((VALUE(MID(K13,1,1))+VALUE(MID(K13,3,1))+VALUE(MID(K13,5,1))+VALUE(MID(K13,7,1))+VALUE(MID(K13,9,1))+VALUE(MID(K13,11,1)))*3+VALUE(MID(K13,2,1))+VALUE(MID(K13,4,1))+VALUE(MID(K13,6,1))+VALUE(MID(K13,8,1))+VALUE(MID(K13,10,1))+VALUE(MID(K13,12,1)),10)=0),"PASS","FAIL"))</x:f>
        <x:v>MISSING</x:v>
      </x:c>
      <x:c r="O13" s="51" t="str">
        <x:v>TBD</x:v>
      </x:c>
      <x:c r="P13" s="51" t="str">
        <x:v>TBD</x:v>
      </x:c>
      <x:c r="Q13" s="51" t="str">
        <x:v>TBD</x:v>
      </x:c>
      <x:c r="R13" s="51" t="str">
        <x:v>Hold</x:v>
      </x:c>
      <x:c r="S13" s="91" t="n">
        <x:v>1</x:v>
      </x:c>
      <x:c r="T13" s="51" t="str">
        <x:f>IF(B13="","FAIL",IF(OR(J13="TBD",L13="TBD",M13="TBD",O13="TBD",P13="TBD",Q13="TBD"),"TBD","READY"))</x:f>
        <x:v>TBD</x:v>
      </x:c>
      <x:c r="U13" s="93" t="str">
        <x:v>HOLD pending B&amp;H-approved digital item setup: identifier, license model/term, activation, fulfillment, and return treatment are TBD.</x:v>
      </x:c>
      <x:c r="V13" s="93" t="str">
        <x:v>IDMA-BH-PS-2026-01 v3.5 (Controlled Price Schedule)</x:v>
      </x:c>
    </x:row>
    <x:row r="14">
      <x:c r="A14" s="51" t="str">
        <x:v>Hold</x:v>
      </x:c>
      <x:c r="B14" s="51" t="str">
        <x:v>SW-ZOOM</x:v>
      </x:c>
      <x:c r="C14" s="51" t="str">
        <x:v>TBD</x:v>
      </x:c>
      <x:c r="D14" s="51" t="str">
        <x:v>IDMA</x:v>
      </x:c>
      <x:c r="E14" s="51" t="str">
        <x:v>Software</x:v>
      </x:c>
      <x:c r="F14" s="51" t="str">
        <x:v>Software License</x:v>
      </x:c>
      <x:c r="G14" s="93" t="str">
        <x:v>iDma Collaboration (Zoom App Version)</x:v>
      </x:c>
      <x:c r="H14" s="51" t="str">
        <x:v>Yes</x:v>
      </x:c>
      <x:c r="I14" s="51" t="str">
        <x:v>LIC</x:v>
      </x:c>
      <x:c r="J14" s="51" t="str">
        <x:v>TBD</x:v>
      </x:c>
      <x:c r="K14" s="91" t="str"/>
      <x:c r="L14" s="51" t="str">
        <x:v>TBD</x:v>
      </x:c>
      <x:c r="M14" s="51" t="str">
        <x:v>TBD</x:v>
      </x:c>
      <x:c r="N14" s="51" t="str">
        <x:f>IF(K14="","MISSING",IF(AND(LEN(K14)=12,MOD((VALUE(MID(K14,1,1))+VALUE(MID(K14,3,1))+VALUE(MID(K14,5,1))+VALUE(MID(K14,7,1))+VALUE(MID(K14,9,1))+VALUE(MID(K14,11,1)))*3+VALUE(MID(K14,2,1))+VALUE(MID(K14,4,1))+VALUE(MID(K14,6,1))+VALUE(MID(K14,8,1))+VALUE(MID(K14,10,1))+VALUE(MID(K14,12,1)),10)=0),"PASS","FAIL"))</x:f>
        <x:v>MISSING</x:v>
      </x:c>
      <x:c r="O14" s="51" t="str">
        <x:v>TBD</x:v>
      </x:c>
      <x:c r="P14" s="51" t="str">
        <x:v>TBD</x:v>
      </x:c>
      <x:c r="Q14" s="51" t="str">
        <x:v>TBD</x:v>
      </x:c>
      <x:c r="R14" s="51" t="str">
        <x:v>Hold</x:v>
      </x:c>
      <x:c r="S14" s="91" t="n">
        <x:v>1</x:v>
      </x:c>
      <x:c r="T14" s="51" t="str">
        <x:f>IF(B14="","FAIL",IF(OR(J14="TBD",L14="TBD",M14="TBD",O14="TBD",P14="TBD",Q14="TBD"),"TBD","READY"))</x:f>
        <x:v>TBD</x:v>
      </x:c>
      <x:c r="U14" s="93" t="str">
        <x:v>HOLD pending B&amp;H-approved digital item setup: identifier, license model/term, activation, fulfillment, and return treatment are TBD.</x:v>
      </x:c>
      <x:c r="V14" s="93" t="str">
        <x:v>IDMA-BH-PS-2026-01 v3.5 (Controlled Price Schedule)</x:v>
      </x:c>
    </x:row>
    <x:row r="15">
      <x:c r="A15" s="51" t="str">
        <x:v>Hold</x:v>
      </x:c>
      <x:c r="B15" s="51" t="str">
        <x:v>SW-HOME</x:v>
      </x:c>
      <x:c r="C15" s="51" t="str">
        <x:v>TBD</x:v>
      </x:c>
      <x:c r="D15" s="51" t="str">
        <x:v>IDMA</x:v>
      </x:c>
      <x:c r="E15" s="51" t="str">
        <x:v>Software</x:v>
      </x:c>
      <x:c r="F15" s="51" t="str">
        <x:v>Software License</x:v>
      </x:c>
      <x:c r="G15" s="93" t="str">
        <x:v>iDma Home Edition</x:v>
      </x:c>
      <x:c r="H15" s="51" t="str">
        <x:v>No</x:v>
      </x:c>
      <x:c r="I15" s="51" t="str">
        <x:v>LIC</x:v>
      </x:c>
      <x:c r="J15" s="51" t="str">
        <x:v>TBD</x:v>
      </x:c>
      <x:c r="K15" s="91" t="str"/>
      <x:c r="L15" s="51" t="str">
        <x:v>TBD</x:v>
      </x:c>
      <x:c r="M15" s="51" t="str">
        <x:v>TBD</x:v>
      </x:c>
      <x:c r="N15" s="51" t="str">
        <x:f>IF(K15="","MISSING",IF(AND(LEN(K15)=12,MOD((VALUE(MID(K15,1,1))+VALUE(MID(K15,3,1))+VALUE(MID(K15,5,1))+VALUE(MID(K15,7,1))+VALUE(MID(K15,9,1))+VALUE(MID(K15,11,1)))*3+VALUE(MID(K15,2,1))+VALUE(MID(K15,4,1))+VALUE(MID(K15,6,1))+VALUE(MID(K15,8,1))+VALUE(MID(K15,10,1))+VALUE(MID(K15,12,1)),10)=0),"PASS","FAIL"))</x:f>
        <x:v>MISSING</x:v>
      </x:c>
      <x:c r="O15" s="51" t="str">
        <x:v>TBD</x:v>
      </x:c>
      <x:c r="P15" s="51" t="str">
        <x:v>TBD</x:v>
      </x:c>
      <x:c r="Q15" s="51" t="str">
        <x:v>TBD</x:v>
      </x:c>
      <x:c r="R15" s="51" t="str">
        <x:v>Hold</x:v>
      </x:c>
      <x:c r="S15" s="91" t="n">
        <x:v>1</x:v>
      </x:c>
      <x:c r="T15" s="51" t="str">
        <x:f>IF(B15="","FAIL",IF(OR(J15="TBD",L15="TBD",M15="TBD",O15="TBD",P15="TBD",Q15="TBD"),"TBD","READY"))</x:f>
        <x:v>TBD</x:v>
      </x:c>
      <x:c r="U15" s="93" t="str">
        <x:v>Non-selling/free companion treatment and wholesale cost require B&amp;H confirmation.</x:v>
      </x:c>
      <x:c r="V15" s="93" t="str">
        <x:v>IDMA-BH-PS-2026-01 v3.5 (Controlled Price Schedule)</x:v>
      </x:c>
    </x:row>
    <x:row r="16">
      <x:c r="A16" s="51" t="str">
        <x:v>TBD</x:v>
      </x:c>
      <x:c r="B16" s="51" t="str">
        <x:v>BND-GW-100</x:v>
      </x:c>
      <x:c r="C16" s="51" t="str">
        <x:v>TBD</x:v>
      </x:c>
      <x:c r="D16" s="51" t="str">
        <x:v>IDMA</x:v>
      </x:c>
      <x:c r="E16" s="51" t="str">
        <x:v>Bundle</x:v>
      </x:c>
      <x:c r="F16" s="51" t="str">
        <x:v>Gateway + Commercial</x:v>
      </x:c>
      <x:c r="G16" s="93" t="str">
        <x:v>Gateway + Commercial Bundle - PP-100</x:v>
      </x:c>
      <x:c r="H16" s="51" t="str">
        <x:v>Yes</x:v>
      </x:c>
      <x:c r="I16" s="51" t="str">
        <x:v>KIT</x:v>
      </x:c>
      <x:c r="J16" s="51" t="str">
        <x:v>TBD</x:v>
      </x:c>
      <x:c r="K16" s="91" t="str"/>
      <x:c r="L16" s="51" t="str">
        <x:v>TBD</x:v>
      </x:c>
      <x:c r="M16" s="51" t="str">
        <x:v>TBD</x:v>
      </x:c>
      <x:c r="N16" s="51" t="str">
        <x:f>IF(K16="","MISSING",IF(AND(LEN(K16)=12,MOD((VALUE(MID(K16,1,1))+VALUE(MID(K16,3,1))+VALUE(MID(K16,5,1))+VALUE(MID(K16,7,1))+VALUE(MID(K16,9,1))+VALUE(MID(K16,11,1)))*3+VALUE(MID(K16,2,1))+VALUE(MID(K16,4,1))+VALUE(MID(K16,6,1))+VALUE(MID(K16,8,1))+VALUE(MID(K16,10,1))+VALUE(MID(K16,12,1)),10)=0),"PASS","FAIL"))</x:f>
        <x:v>MISSING</x:v>
      </x:c>
      <x:c r="O16" s="51" t="str">
        <x:v>TBD</x:v>
      </x:c>
      <x:c r="P16" s="51" t="str">
        <x:v>TBD</x:v>
      </x:c>
      <x:c r="Q16" s="51" t="str">
        <x:v>TBD</x:v>
      </x:c>
      <x:c r="R16" s="51" t="str">
        <x:v>Proposed</x:v>
      </x:c>
      <x:c r="S16" s="91" t="n">
        <x:v>2</x:v>
      </x:c>
      <x:c r="T16" s="51" t="str">
        <x:f>IF(B16="","FAIL",IF(OR(J16="TBD",L16="TBD",M16="TBD",O16="TBD",P16="TBD",Q16="TBD"),"TBD","READY"))</x:f>
        <x:v>TBD</x:v>
      </x:c>
      <x:c r="U16" s="93" t="str">
        <x:v>Own UPC, factory-vs-virtual kit model, packaging, serial handling, and software entitlement are TBD.</x:v>
      </x:c>
      <x:c r="V16" s="93" t="str">
        <x:v>IDMA-BH-PS-2026-01 v3.5 (Controlled Price Schedule)</x:v>
      </x:c>
    </x:row>
    <x:row r="17">
      <x:c r="A17" s="51" t="str">
        <x:v>TBD</x:v>
      </x:c>
      <x:c r="B17" s="51" t="str">
        <x:v>BND-GW-110</x:v>
      </x:c>
      <x:c r="C17" s="51" t="str">
        <x:v>TBD</x:v>
      </x:c>
      <x:c r="D17" s="51" t="str">
        <x:v>IDMA</x:v>
      </x:c>
      <x:c r="E17" s="51" t="str">
        <x:v>Bundle</x:v>
      </x:c>
      <x:c r="F17" s="51" t="str">
        <x:v>Gateway + Commercial</x:v>
      </x:c>
      <x:c r="G17" s="93" t="str">
        <x:v>Gateway + Commercial Bundle - PP-110</x:v>
      </x:c>
      <x:c r="H17" s="51" t="str">
        <x:v>Yes</x:v>
      </x:c>
      <x:c r="I17" s="51" t="str">
        <x:v>KIT</x:v>
      </x:c>
      <x:c r="J17" s="51" t="str">
        <x:v>TBD</x:v>
      </x:c>
      <x:c r="K17" s="91" t="str"/>
      <x:c r="L17" s="51" t="str">
        <x:v>TBD</x:v>
      </x:c>
      <x:c r="M17" s="51" t="str">
        <x:v>TBD</x:v>
      </x:c>
      <x:c r="N17" s="51" t="str">
        <x:f>IF(K17="","MISSING",IF(AND(LEN(K17)=12,MOD((VALUE(MID(K17,1,1))+VALUE(MID(K17,3,1))+VALUE(MID(K17,5,1))+VALUE(MID(K17,7,1))+VALUE(MID(K17,9,1))+VALUE(MID(K17,11,1)))*3+VALUE(MID(K17,2,1))+VALUE(MID(K17,4,1))+VALUE(MID(K17,6,1))+VALUE(MID(K17,8,1))+VALUE(MID(K17,10,1))+VALUE(MID(K17,12,1)),10)=0),"PASS","FAIL"))</x:f>
        <x:v>MISSING</x:v>
      </x:c>
      <x:c r="O17" s="51" t="str">
        <x:v>TBD</x:v>
      </x:c>
      <x:c r="P17" s="51" t="str">
        <x:v>TBD</x:v>
      </x:c>
      <x:c r="Q17" s="51" t="str">
        <x:v>TBD</x:v>
      </x:c>
      <x:c r="R17" s="51" t="str">
        <x:v>Proposed</x:v>
      </x:c>
      <x:c r="S17" s="91" t="n">
        <x:v>2</x:v>
      </x:c>
      <x:c r="T17" s="51" t="str">
        <x:f>IF(B17="","FAIL",IF(OR(J17="TBD",L17="TBD",M17="TBD",O17="TBD",P17="TBD",Q17="TBD"),"TBD","READY"))</x:f>
        <x:v>TBD</x:v>
      </x:c>
      <x:c r="U17" s="93" t="str">
        <x:v>Own UPC, factory-vs-virtual kit model, packaging, serial handling, and software entitlement are TBD.</x:v>
      </x:c>
      <x:c r="V17" s="93" t="str">
        <x:v>IDMA-BH-PS-2026-01 v3.5 (Controlled Price Schedule)</x:v>
      </x:c>
    </x:row>
    <x:row r="18">
      <x:c r="A18" s="51" t="str">
        <x:v>TBD</x:v>
      </x:c>
      <x:c r="B18" s="51" t="str">
        <x:v>BND-GW-120</x:v>
      </x:c>
      <x:c r="C18" s="51" t="str">
        <x:v>TBD</x:v>
      </x:c>
      <x:c r="D18" s="51" t="str">
        <x:v>IDMA</x:v>
      </x:c>
      <x:c r="E18" s="51" t="str">
        <x:v>Bundle</x:v>
      </x:c>
      <x:c r="F18" s="51" t="str">
        <x:v>Gateway + Commercial</x:v>
      </x:c>
      <x:c r="G18" s="93" t="str">
        <x:v>Gateway + Commercial Bundle - PP-120</x:v>
      </x:c>
      <x:c r="H18" s="51" t="str">
        <x:v>Yes</x:v>
      </x:c>
      <x:c r="I18" s="51" t="str">
        <x:v>KIT</x:v>
      </x:c>
      <x:c r="J18" s="51" t="str">
        <x:v>TBD</x:v>
      </x:c>
      <x:c r="K18" s="91" t="str"/>
      <x:c r="L18" s="51" t="str">
        <x:v>TBD</x:v>
      </x:c>
      <x:c r="M18" s="51" t="str">
        <x:v>TBD</x:v>
      </x:c>
      <x:c r="N18" s="51" t="str">
        <x:f>IF(K18="","MISSING",IF(AND(LEN(K18)=12,MOD((VALUE(MID(K18,1,1))+VALUE(MID(K18,3,1))+VALUE(MID(K18,5,1))+VALUE(MID(K18,7,1))+VALUE(MID(K18,9,1))+VALUE(MID(K18,11,1)))*3+VALUE(MID(K18,2,1))+VALUE(MID(K18,4,1))+VALUE(MID(K18,6,1))+VALUE(MID(K18,8,1))+VALUE(MID(K18,10,1))+VALUE(MID(K18,12,1)),10)=0),"PASS","FAIL"))</x:f>
        <x:v>MISSING</x:v>
      </x:c>
      <x:c r="O18" s="51" t="str">
        <x:v>TBD</x:v>
      </x:c>
      <x:c r="P18" s="51" t="str">
        <x:v>TBD</x:v>
      </x:c>
      <x:c r="Q18" s="51" t="str">
        <x:v>TBD</x:v>
      </x:c>
      <x:c r="R18" s="51" t="str">
        <x:v>Proposed</x:v>
      </x:c>
      <x:c r="S18" s="91" t="n">
        <x:v>2</x:v>
      </x:c>
      <x:c r="T18" s="51" t="str">
        <x:f>IF(B18="","FAIL",IF(OR(J18="TBD",L18="TBD",M18="TBD",O18="TBD",P18="TBD",Q18="TBD"),"TBD","READY"))</x:f>
        <x:v>TBD</x:v>
      </x:c>
      <x:c r="U18" s="93" t="str">
        <x:v>Own UPC, factory-vs-virtual kit model, packaging, serial handling, and software entitlement are TBD.</x:v>
      </x:c>
      <x:c r="V18" s="93" t="str">
        <x:v>IDMA-BH-PS-2026-01 v3.5 (Controlled Price Schedule)</x:v>
      </x:c>
    </x:row>
    <x:row r="19">
      <x:c r="A19" s="51" t="str">
        <x:v>TBD</x:v>
      </x:c>
      <x:c r="B19" s="51" t="str">
        <x:v>BND-ZOOM-100</x:v>
      </x:c>
      <x:c r="C19" s="51" t="str">
        <x:v>TBD</x:v>
      </x:c>
      <x:c r="D19" s="51" t="str">
        <x:v>IDMA</x:v>
      </x:c>
      <x:c r="E19" s="51" t="str">
        <x:v>Bundle</x:v>
      </x:c>
      <x:c r="F19" s="51" t="str">
        <x:v>Zoom Collaboration</x:v>
      </x:c>
      <x:c r="G19" s="93" t="str">
        <x:v>Zoom Collaboration Bundle - PP-100</x:v>
      </x:c>
      <x:c r="H19" s="51" t="str">
        <x:v>Yes</x:v>
      </x:c>
      <x:c r="I19" s="51" t="str">
        <x:v>KIT</x:v>
      </x:c>
      <x:c r="J19" s="51" t="str">
        <x:v>TBD</x:v>
      </x:c>
      <x:c r="K19" s="91" t="str"/>
      <x:c r="L19" s="51" t="str">
        <x:v>TBD</x:v>
      </x:c>
      <x:c r="M19" s="51" t="str">
        <x:v>TBD</x:v>
      </x:c>
      <x:c r="N19" s="51" t="str">
        <x:f>IF(K19="","MISSING",IF(AND(LEN(K19)=12,MOD((VALUE(MID(K19,1,1))+VALUE(MID(K19,3,1))+VALUE(MID(K19,5,1))+VALUE(MID(K19,7,1))+VALUE(MID(K19,9,1))+VALUE(MID(K19,11,1)))*3+VALUE(MID(K19,2,1))+VALUE(MID(K19,4,1))+VALUE(MID(K19,6,1))+VALUE(MID(K19,8,1))+VALUE(MID(K19,10,1))+VALUE(MID(K19,12,1)),10)=0),"PASS","FAIL"))</x:f>
        <x:v>MISSING</x:v>
      </x:c>
      <x:c r="O19" s="51" t="str">
        <x:v>TBD</x:v>
      </x:c>
      <x:c r="P19" s="51" t="str">
        <x:v>TBD</x:v>
      </x:c>
      <x:c r="Q19" s="51" t="str">
        <x:v>TBD</x:v>
      </x:c>
      <x:c r="R19" s="51" t="str">
        <x:v>Proposed</x:v>
      </x:c>
      <x:c r="S19" s="91" t="n">
        <x:v>2</x:v>
      </x:c>
      <x:c r="T19" s="51" t="str">
        <x:f>IF(B19="","FAIL",IF(OR(J19="TBD",L19="TBD",M19="TBD",O19="TBD",P19="TBD",Q19="TBD"),"TBD","READY"))</x:f>
        <x:v>TBD</x:v>
      </x:c>
      <x:c r="U19" s="93" t="str">
        <x:v>Own UPC, factory-vs-virtual kit model, packaging, serial handling, and software entitlement are TBD.</x:v>
      </x:c>
      <x:c r="V19" s="93" t="str">
        <x:v>IDMA-BH-PS-2026-01 v3.5 (Controlled Price Schedule)</x:v>
      </x:c>
    </x:row>
    <x:row r="20">
      <x:c r="A20" s="51" t="str">
        <x:v>TBD</x:v>
      </x:c>
      <x:c r="B20" s="51" t="str">
        <x:v>BND-ZOOM-110</x:v>
      </x:c>
      <x:c r="C20" s="51" t="str">
        <x:v>TBD</x:v>
      </x:c>
      <x:c r="D20" s="51" t="str">
        <x:v>IDMA</x:v>
      </x:c>
      <x:c r="E20" s="51" t="str">
        <x:v>Bundle</x:v>
      </x:c>
      <x:c r="F20" s="51" t="str">
        <x:v>Zoom Collaboration</x:v>
      </x:c>
      <x:c r="G20" s="93" t="str">
        <x:v>Zoom Collaboration Bundle - PP-110</x:v>
      </x:c>
      <x:c r="H20" s="51" t="str">
        <x:v>Yes</x:v>
      </x:c>
      <x:c r="I20" s="51" t="str">
        <x:v>KIT</x:v>
      </x:c>
      <x:c r="J20" s="51" t="str">
        <x:v>TBD</x:v>
      </x:c>
      <x:c r="K20" s="91" t="str"/>
      <x:c r="L20" s="51" t="str">
        <x:v>TBD</x:v>
      </x:c>
      <x:c r="M20" s="51" t="str">
        <x:v>TBD</x:v>
      </x:c>
      <x:c r="N20" s="51" t="str">
        <x:f>IF(K20="","MISSING",IF(AND(LEN(K20)=12,MOD((VALUE(MID(K20,1,1))+VALUE(MID(K20,3,1))+VALUE(MID(K20,5,1))+VALUE(MID(K20,7,1))+VALUE(MID(K20,9,1))+VALUE(MID(K20,11,1)))*3+VALUE(MID(K20,2,1))+VALUE(MID(K20,4,1))+VALUE(MID(K20,6,1))+VALUE(MID(K20,8,1))+VALUE(MID(K20,10,1))+VALUE(MID(K20,12,1)),10)=0),"PASS","FAIL"))</x:f>
        <x:v>MISSING</x:v>
      </x:c>
      <x:c r="O20" s="51" t="str">
        <x:v>TBD</x:v>
      </x:c>
      <x:c r="P20" s="51" t="str">
        <x:v>TBD</x:v>
      </x:c>
      <x:c r="Q20" s="51" t="str">
        <x:v>TBD</x:v>
      </x:c>
      <x:c r="R20" s="51" t="str">
        <x:v>Proposed</x:v>
      </x:c>
      <x:c r="S20" s="91" t="n">
        <x:v>2</x:v>
      </x:c>
      <x:c r="T20" s="51" t="str">
        <x:f>IF(B20="","FAIL",IF(OR(J20="TBD",L20="TBD",M20="TBD",O20="TBD",P20="TBD",Q20="TBD"),"TBD","READY"))</x:f>
        <x:v>TBD</x:v>
      </x:c>
      <x:c r="U20" s="93" t="str">
        <x:v>Own UPC, factory-vs-virtual kit model, packaging, serial handling, and software entitlement are TBD.</x:v>
      </x:c>
      <x:c r="V20" s="93" t="str">
        <x:v>IDMA-BH-PS-2026-01 v3.5 (Controlled Price Schedule)</x:v>
      </x:c>
    </x:row>
    <x:row r="21">
      <x:c r="A21" s="51" t="str">
        <x:v>TBD</x:v>
      </x:c>
      <x:c r="B21" s="51" t="str">
        <x:v>BND-ZOOM-120</x:v>
      </x:c>
      <x:c r="C21" s="51" t="str">
        <x:v>TBD</x:v>
      </x:c>
      <x:c r="D21" s="51" t="str">
        <x:v>IDMA</x:v>
      </x:c>
      <x:c r="E21" s="51" t="str">
        <x:v>Bundle</x:v>
      </x:c>
      <x:c r="F21" s="51" t="str">
        <x:v>Zoom Collaboration</x:v>
      </x:c>
      <x:c r="G21" s="93" t="str">
        <x:v>Zoom Collaboration Bundle - PP-120</x:v>
      </x:c>
      <x:c r="H21" s="51" t="str">
        <x:v>Yes</x:v>
      </x:c>
      <x:c r="I21" s="51" t="str">
        <x:v>KIT</x:v>
      </x:c>
      <x:c r="J21" s="51" t="str">
        <x:v>TBD</x:v>
      </x:c>
      <x:c r="K21" s="91" t="str"/>
      <x:c r="L21" s="51" t="str">
        <x:v>TBD</x:v>
      </x:c>
      <x:c r="M21" s="51" t="str">
        <x:v>TBD</x:v>
      </x:c>
      <x:c r="N21" s="51" t="str">
        <x:f>IF(K21="","MISSING",IF(AND(LEN(K21)=12,MOD((VALUE(MID(K21,1,1))+VALUE(MID(K21,3,1))+VALUE(MID(K21,5,1))+VALUE(MID(K21,7,1))+VALUE(MID(K21,9,1))+VALUE(MID(K21,11,1)))*3+VALUE(MID(K21,2,1))+VALUE(MID(K21,4,1))+VALUE(MID(K21,6,1))+VALUE(MID(K21,8,1))+VALUE(MID(K21,10,1))+VALUE(MID(K21,12,1)),10)=0),"PASS","FAIL"))</x:f>
        <x:v>MISSING</x:v>
      </x:c>
      <x:c r="O21" s="51" t="str">
        <x:v>TBD</x:v>
      </x:c>
      <x:c r="P21" s="51" t="str">
        <x:v>TBD</x:v>
      </x:c>
      <x:c r="Q21" s="51" t="str">
        <x:v>TBD</x:v>
      </x:c>
      <x:c r="R21" s="51" t="str">
        <x:v>Proposed</x:v>
      </x:c>
      <x:c r="S21" s="91" t="n">
        <x:v>2</x:v>
      </x:c>
      <x:c r="T21" s="51" t="str">
        <x:f>IF(B21="","FAIL",IF(OR(J21="TBD",L21="TBD",M21="TBD",O21="TBD",P21="TBD",Q21="TBD"),"TBD","READY"))</x:f>
        <x:v>TBD</x:v>
      </x:c>
      <x:c r="U21" s="93" t="str">
        <x:v>Own UPC, factory-vs-virtual kit model, packaging, serial handling, and software entitlement are TBD.</x:v>
      </x:c>
      <x:c r="V21" s="93" t="str">
        <x:v>IDMA-BH-PS-2026-01 v3.5 (Controlled Price Schedule)</x:v>
      </x:c>
    </x:row>
    <x:row r="22">
      <x:c r="A22" s="51" t="str">
        <x:v>TBD</x:v>
      </x:c>
      <x:c r="B22" s="51" t="str">
        <x:v>BND-OPS-100</x:v>
      </x:c>
      <x:c r="C22" s="51" t="str">
        <x:v>TBD</x:v>
      </x:c>
      <x:c r="D22" s="51" t="str">
        <x:v>IDMA</x:v>
      </x:c>
      <x:c r="E22" s="51" t="str">
        <x:v>Bundle</x:v>
      </x:c>
      <x:c r="F22" s="51" t="str">
        <x:v>OPS Classroom Teaching</x:v>
      </x:c>
      <x:c r="G22" s="93" t="str">
        <x:v>OPS Classroom Teaching Bundle - PP-100 x5</x:v>
      </x:c>
      <x:c r="H22" s="51" t="str">
        <x:v>Yes</x:v>
      </x:c>
      <x:c r="I22" s="51" t="str">
        <x:v>KIT</x:v>
      </x:c>
      <x:c r="J22" s="51" t="str">
        <x:v>TBD</x:v>
      </x:c>
      <x:c r="K22" s="91" t="str"/>
      <x:c r="L22" s="51" t="str">
        <x:v>TBD</x:v>
      </x:c>
      <x:c r="M22" s="51" t="str">
        <x:v>TBD</x:v>
      </x:c>
      <x:c r="N22" s="51" t="str">
        <x:f>IF(K22="","MISSING",IF(AND(LEN(K22)=12,MOD((VALUE(MID(K22,1,1))+VALUE(MID(K22,3,1))+VALUE(MID(K22,5,1))+VALUE(MID(K22,7,1))+VALUE(MID(K22,9,1))+VALUE(MID(K22,11,1)))*3+VALUE(MID(K22,2,1))+VALUE(MID(K22,4,1))+VALUE(MID(K22,6,1))+VALUE(MID(K22,8,1))+VALUE(MID(K22,10,1))+VALUE(MID(K22,12,1)),10)=0),"PASS","FAIL"))</x:f>
        <x:v>MISSING</x:v>
      </x:c>
      <x:c r="O22" s="51" t="str">
        <x:v>TBD</x:v>
      </x:c>
      <x:c r="P22" s="51" t="str">
        <x:v>TBD</x:v>
      </x:c>
      <x:c r="Q22" s="51" t="str">
        <x:v>TBD</x:v>
      </x:c>
      <x:c r="R22" s="51" t="str">
        <x:v>Proposed</x:v>
      </x:c>
      <x:c r="S22" s="91" t="n">
        <x:v>2</x:v>
      </x:c>
      <x:c r="T22" s="51" t="str">
        <x:f>IF(B22="","FAIL",IF(OR(J22="TBD",L22="TBD",M22="TBD",O22="TBD",P22="TBD",Q22="TBD"),"TBD","READY"))</x:f>
        <x:v>TBD</x:v>
      </x:c>
      <x:c r="U22" s="93" t="str">
        <x:v>Own UPC, factory-vs-virtual kit model, packaging, serial handling, and software entitlement are TBD.</x:v>
      </x:c>
      <x:c r="V22" s="93" t="str">
        <x:v>IDMA-BH-PS-2026-01 v3.5 (Controlled Price Schedule)</x:v>
      </x:c>
    </x:row>
    <x:row r="23">
      <x:c r="A23" s="51" t="str">
        <x:v>TBD</x:v>
      </x:c>
      <x:c r="B23" s="51" t="str">
        <x:v>BND-OPS-120</x:v>
      </x:c>
      <x:c r="C23" s="51" t="str">
        <x:v>TBD</x:v>
      </x:c>
      <x:c r="D23" s="51" t="str">
        <x:v>IDMA</x:v>
      </x:c>
      <x:c r="E23" s="51" t="str">
        <x:v>Bundle</x:v>
      </x:c>
      <x:c r="F23" s="51" t="str">
        <x:v>OPS Classroom Teaching</x:v>
      </x:c>
      <x:c r="G23" s="93" t="str">
        <x:v>OPS Classroom Teaching Bundle - PP-120 x5</x:v>
      </x:c>
      <x:c r="H23" s="51" t="str">
        <x:v>Yes</x:v>
      </x:c>
      <x:c r="I23" s="51" t="str">
        <x:v>KIT</x:v>
      </x:c>
      <x:c r="J23" s="51" t="str">
        <x:v>TBD</x:v>
      </x:c>
      <x:c r="K23" s="91" t="str"/>
      <x:c r="L23" s="51" t="str">
        <x:v>TBD</x:v>
      </x:c>
      <x:c r="M23" s="51" t="str">
        <x:v>TBD</x:v>
      </x:c>
      <x:c r="N23" s="51" t="str">
        <x:f>IF(K23="","MISSING",IF(AND(LEN(K23)=12,MOD((VALUE(MID(K23,1,1))+VALUE(MID(K23,3,1))+VALUE(MID(K23,5,1))+VALUE(MID(K23,7,1))+VALUE(MID(K23,9,1))+VALUE(MID(K23,11,1)))*3+VALUE(MID(K23,2,1))+VALUE(MID(K23,4,1))+VALUE(MID(K23,6,1))+VALUE(MID(K23,8,1))+VALUE(MID(K23,10,1))+VALUE(MID(K23,12,1)),10)=0),"PASS","FAIL"))</x:f>
        <x:v>MISSING</x:v>
      </x:c>
      <x:c r="O23" s="51" t="str">
        <x:v>TBD</x:v>
      </x:c>
      <x:c r="P23" s="51" t="str">
        <x:v>TBD</x:v>
      </x:c>
      <x:c r="Q23" s="51" t="str">
        <x:v>TBD</x:v>
      </x:c>
      <x:c r="R23" s="51" t="str">
        <x:v>Proposed</x:v>
      </x:c>
      <x:c r="S23" s="91" t="n">
        <x:v>2</x:v>
      </x:c>
      <x:c r="T23" s="51" t="str">
        <x:f>IF(B23="","FAIL",IF(OR(J23="TBD",L23="TBD",M23="TBD",O23="TBD",P23="TBD",Q23="TBD"),"TBD","READY"))</x:f>
        <x:v>TBD</x:v>
      </x:c>
      <x:c r="U23" s="93" t="str">
        <x:v>Own UPC, factory-vs-virtual kit model, packaging, serial handling, and software entitlement are TBD.</x:v>
      </x:c>
      <x:c r="V23" s="93" t="str">
        <x:v>IDMA-BH-PS-2026-01 v3.5 (Controlled Price Schedule)</x:v>
      </x:c>
    </x:row>
    <x:row r="24">
      <x:c r="A24" s="51" t="str">
        <x:v>TBD</x:v>
      </x:c>
      <x:c r="B24" s="51" t="str">
        <x:v>BND-MTG-100</x:v>
      </x:c>
      <x:c r="C24" s="51" t="str">
        <x:v>TBD</x:v>
      </x:c>
      <x:c r="D24" s="51" t="str">
        <x:v>IDMA</x:v>
      </x:c>
      <x:c r="E24" s="51" t="str">
        <x:v>Bundle</x:v>
      </x:c>
      <x:c r="F24" s="51" t="str">
        <x:v>Offline Meeting / Teaching</x:v>
      </x:c>
      <x:c r="G24" s="93" t="str">
        <x:v>Offline Meeting / Teaching Bundle - PP-100 x2</x:v>
      </x:c>
      <x:c r="H24" s="51" t="str">
        <x:v>Yes</x:v>
      </x:c>
      <x:c r="I24" s="51" t="str">
        <x:v>KIT</x:v>
      </x:c>
      <x:c r="J24" s="51" t="str">
        <x:v>TBD</x:v>
      </x:c>
      <x:c r="K24" s="91" t="str"/>
      <x:c r="L24" s="51" t="str">
        <x:v>TBD</x:v>
      </x:c>
      <x:c r="M24" s="51" t="str">
        <x:v>TBD</x:v>
      </x:c>
      <x:c r="N24" s="51" t="str">
        <x:f>IF(K24="","MISSING",IF(AND(LEN(K24)=12,MOD((VALUE(MID(K24,1,1))+VALUE(MID(K24,3,1))+VALUE(MID(K24,5,1))+VALUE(MID(K24,7,1))+VALUE(MID(K24,9,1))+VALUE(MID(K24,11,1)))*3+VALUE(MID(K24,2,1))+VALUE(MID(K24,4,1))+VALUE(MID(K24,6,1))+VALUE(MID(K24,8,1))+VALUE(MID(K24,10,1))+VALUE(MID(K24,12,1)),10)=0),"PASS","FAIL"))</x:f>
        <x:v>MISSING</x:v>
      </x:c>
      <x:c r="O24" s="51" t="str">
        <x:v>TBD</x:v>
      </x:c>
      <x:c r="P24" s="51" t="str">
        <x:v>TBD</x:v>
      </x:c>
      <x:c r="Q24" s="51" t="str">
        <x:v>TBD</x:v>
      </x:c>
      <x:c r="R24" s="51" t="str">
        <x:v>Proposed</x:v>
      </x:c>
      <x:c r="S24" s="91" t="n">
        <x:v>2</x:v>
      </x:c>
      <x:c r="T24" s="51" t="str">
        <x:f>IF(B24="","FAIL",IF(OR(J24="TBD",L24="TBD",M24="TBD",O24="TBD",P24="TBD",Q24="TBD"),"TBD","READY"))</x:f>
        <x:v>TBD</x:v>
      </x:c>
      <x:c r="U24" s="93" t="str">
        <x:v>Own UPC, factory-vs-virtual kit model, packaging, serial handling, and software entitlement are TBD.</x:v>
      </x:c>
      <x:c r="V24" s="93" t="str">
        <x:v>IDMA-BH-PS-2026-01 v3.5 (Controlled Price Schedule)</x:v>
      </x:c>
    </x:row>
    <x:row r="25">
      <x:c r="A25" s="51" t="str">
        <x:v>TBD</x:v>
      </x:c>
      <x:c r="B25" s="51" t="str">
        <x:v>BND-MTG-110</x:v>
      </x:c>
      <x:c r="C25" s="51" t="str">
        <x:v>TBD</x:v>
      </x:c>
      <x:c r="D25" s="51" t="str">
        <x:v>IDMA</x:v>
      </x:c>
      <x:c r="E25" s="51" t="str">
        <x:v>Bundle</x:v>
      </x:c>
      <x:c r="F25" s="51" t="str">
        <x:v>Offline Meeting / Teaching</x:v>
      </x:c>
      <x:c r="G25" s="93" t="str">
        <x:v>Offline Meeting / Teaching Bundle - PP-110 x2</x:v>
      </x:c>
      <x:c r="H25" s="51" t="str">
        <x:v>Yes</x:v>
      </x:c>
      <x:c r="I25" s="51" t="str">
        <x:v>KIT</x:v>
      </x:c>
      <x:c r="J25" s="51" t="str">
        <x:v>TBD</x:v>
      </x:c>
      <x:c r="K25" s="91" t="str"/>
      <x:c r="L25" s="51" t="str">
        <x:v>TBD</x:v>
      </x:c>
      <x:c r="M25" s="51" t="str">
        <x:v>TBD</x:v>
      </x:c>
      <x:c r="N25" s="51" t="str">
        <x:f>IF(K25="","MISSING",IF(AND(LEN(K25)=12,MOD((VALUE(MID(K25,1,1))+VALUE(MID(K25,3,1))+VALUE(MID(K25,5,1))+VALUE(MID(K25,7,1))+VALUE(MID(K25,9,1))+VALUE(MID(K25,11,1)))*3+VALUE(MID(K25,2,1))+VALUE(MID(K25,4,1))+VALUE(MID(K25,6,1))+VALUE(MID(K25,8,1))+VALUE(MID(K25,10,1))+VALUE(MID(K25,12,1)),10)=0),"PASS","FAIL"))</x:f>
        <x:v>MISSING</x:v>
      </x:c>
      <x:c r="O25" s="51" t="str">
        <x:v>TBD</x:v>
      </x:c>
      <x:c r="P25" s="51" t="str">
        <x:v>TBD</x:v>
      </x:c>
      <x:c r="Q25" s="51" t="str">
        <x:v>TBD</x:v>
      </x:c>
      <x:c r="R25" s="51" t="str">
        <x:v>Proposed</x:v>
      </x:c>
      <x:c r="S25" s="91" t="n">
        <x:v>2</x:v>
      </x:c>
      <x:c r="T25" s="51" t="str">
        <x:f>IF(B25="","FAIL",IF(OR(J25="TBD",L25="TBD",M25="TBD",O25="TBD",P25="TBD",Q25="TBD"),"TBD","READY"))</x:f>
        <x:v>TBD</x:v>
      </x:c>
      <x:c r="U25" s="93" t="str">
        <x:v>Own UPC, factory-vs-virtual kit model, packaging, serial handling, and software entitlement are TBD.</x:v>
      </x:c>
      <x:c r="V25" s="93" t="str">
        <x:v>IDMA-BH-PS-2026-01 v3.5 (Controlled Price Schedule)</x:v>
      </x:c>
    </x:row>
    <x:row r="26">
      <x:c r="A26" s="51" t="str">
        <x:v>TBD</x:v>
      </x:c>
      <x:c r="B26" s="51" t="str">
        <x:v>BND-MTG-120</x:v>
      </x:c>
      <x:c r="C26" s="51" t="str">
        <x:v>TBD</x:v>
      </x:c>
      <x:c r="D26" s="51" t="str">
        <x:v>IDMA</x:v>
      </x:c>
      <x:c r="E26" s="51" t="str">
        <x:v>Bundle</x:v>
      </x:c>
      <x:c r="F26" s="51" t="str">
        <x:v>Offline Meeting / Teaching</x:v>
      </x:c>
      <x:c r="G26" s="93" t="str">
        <x:v>Offline Meeting / Teaching Bundle - PP-120 x2</x:v>
      </x:c>
      <x:c r="H26" s="51" t="str">
        <x:v>Yes</x:v>
      </x:c>
      <x:c r="I26" s="51" t="str">
        <x:v>KIT</x:v>
      </x:c>
      <x:c r="J26" s="51" t="str">
        <x:v>TBD</x:v>
      </x:c>
      <x:c r="K26" s="91" t="str"/>
      <x:c r="L26" s="51" t="str">
        <x:v>TBD</x:v>
      </x:c>
      <x:c r="M26" s="51" t="str">
        <x:v>TBD</x:v>
      </x:c>
      <x:c r="N26" s="51" t="str">
        <x:f>IF(K26="","MISSING",IF(AND(LEN(K26)=12,MOD((VALUE(MID(K26,1,1))+VALUE(MID(K26,3,1))+VALUE(MID(K26,5,1))+VALUE(MID(K26,7,1))+VALUE(MID(K26,9,1))+VALUE(MID(K26,11,1)))*3+VALUE(MID(K26,2,1))+VALUE(MID(K26,4,1))+VALUE(MID(K26,6,1))+VALUE(MID(K26,8,1))+VALUE(MID(K26,10,1))+VALUE(MID(K26,12,1)),10)=0),"PASS","FAIL"))</x:f>
        <x:v>MISSING</x:v>
      </x:c>
      <x:c r="O26" s="51" t="str">
        <x:v>TBD</x:v>
      </x:c>
      <x:c r="P26" s="51" t="str">
        <x:v>TBD</x:v>
      </x:c>
      <x:c r="Q26" s="51" t="str">
        <x:v>TBD</x:v>
      </x:c>
      <x:c r="R26" s="51" t="str">
        <x:v>Proposed</x:v>
      </x:c>
      <x:c r="S26" s="91" t="n">
        <x:v>2</x:v>
      </x:c>
      <x:c r="T26" s="51" t="str">
        <x:f>IF(B26="","FAIL",IF(OR(J26="TBD",L26="TBD",M26="TBD",O26="TBD",P26="TBD",Q26="TBD"),"TBD","READY"))</x:f>
        <x:v>TBD</x:v>
      </x:c>
      <x:c r="U26" s="93" t="str">
        <x:v>Own UPC, factory-vs-virtual kit model, packaging, serial handling, and software entitlement are TBD.</x:v>
      </x:c>
      <x:c r="V26" s="93" t="str">
        <x:v>IDMA-BH-PS-2026-01 v3.5 (Controlled Price Schedule)</x:v>
      </x:c>
    </x:row>
  </x:sheetData>
  <x:mergeCells>
    <x:mergeCell ref="A1:V1"/>
    <x:mergeCell ref="A2:V2"/>
  </x:mergeCells>
  <x:conditionalFormatting sqref="A6:A26">
    <x:cfRule type="containsText" dxfId="12" priority="1" operator="containsText" text="TBD"/>
    <x:cfRule type="containsText" dxfId="13" priority="2" operator="containsText" text="REVIEW"/>
    <x:cfRule type="containsText" dxfId="14" priority="3" operator="containsText" text="Hold"/>
    <x:cfRule type="containsText" dxfId="15" priority="4" operator="containsText" text="HOLD"/>
    <x:cfRule type="containsText" dxfId="16" priority="5" operator="containsText" text="FAIL"/>
    <x:cfRule type="containsText" dxfId="17" priority="6" operator="containsText" text="Not Accepted"/>
    <x:cfRule type="containsText" dxfId="18" priority="7" operator="containsText" text="N/A"/>
    <x:cfRule type="containsText" dxfId="19" priority="8" operator="containsText" text="Superseded"/>
    <x:cfRule type="containsText" dxfId="20" priority="9" operator="containsText" text="PASS"/>
    <x:cfRule type="containsText" dxfId="21" priority="10" operator="containsText" text="READY"/>
    <x:cfRule type="containsText" dxfId="22" priority="11" operator="containsText" text="Accepted"/>
    <x:cfRule type="containsText" dxfId="23" priority="12" operator="containsText" text="Confirmed"/>
  </x:conditionalFormatting>
  <x:conditionalFormatting sqref="J6:J26">
    <x:cfRule type="containsText" dxfId="24" priority="13" operator="containsText" text="TBD"/>
    <x:cfRule type="containsText" dxfId="25" priority="14" operator="containsText" text="REVIEW"/>
    <x:cfRule type="containsText" dxfId="26" priority="15" operator="containsText" text="Hold"/>
    <x:cfRule type="containsText" dxfId="27" priority="16" operator="containsText" text="HOLD"/>
    <x:cfRule type="containsText" dxfId="28" priority="17" operator="containsText" text="FAIL"/>
    <x:cfRule type="containsText" dxfId="29" priority="18" operator="containsText" text="Not Accepted"/>
    <x:cfRule type="containsText" dxfId="30" priority="19" operator="containsText" text="N/A"/>
    <x:cfRule type="containsText" dxfId="31" priority="20" operator="containsText" text="Superseded"/>
    <x:cfRule type="containsText" dxfId="32" priority="21" operator="containsText" text="PASS"/>
    <x:cfRule type="containsText" dxfId="33" priority="22" operator="containsText" text="READY"/>
    <x:cfRule type="containsText" dxfId="34" priority="23" operator="containsText" text="Accepted"/>
    <x:cfRule type="containsText" dxfId="35" priority="24" operator="containsText" text="Confirmed"/>
  </x:conditionalFormatting>
  <x:conditionalFormatting sqref="L6:N26">
    <x:cfRule type="containsText" dxfId="36" priority="25" operator="containsText" text="TBD"/>
    <x:cfRule type="containsText" dxfId="37" priority="26" operator="containsText" text="REVIEW"/>
    <x:cfRule type="containsText" dxfId="38" priority="27" operator="containsText" text="Hold"/>
    <x:cfRule type="containsText" dxfId="39" priority="28" operator="containsText" text="HOLD"/>
    <x:cfRule type="containsText" dxfId="40" priority="29" operator="containsText" text="FAIL"/>
    <x:cfRule type="containsText" dxfId="41" priority="30" operator="containsText" text="Not Accepted"/>
    <x:cfRule type="containsText" dxfId="42" priority="31" operator="containsText" text="N/A"/>
    <x:cfRule type="containsText" dxfId="43" priority="32" operator="containsText" text="Superseded"/>
    <x:cfRule type="containsText" dxfId="44" priority="33" operator="containsText" text="PASS"/>
    <x:cfRule type="containsText" dxfId="45" priority="34" operator="containsText" text="READY"/>
    <x:cfRule type="containsText" dxfId="46" priority="35" operator="containsText" text="Accepted"/>
    <x:cfRule type="containsText" dxfId="47" priority="36" operator="containsText" text="Confirmed"/>
  </x:conditionalFormatting>
  <x:conditionalFormatting sqref="O6:R26">
    <x:cfRule type="containsText" dxfId="48" priority="37" operator="containsText" text="TBD"/>
    <x:cfRule type="containsText" dxfId="49" priority="38" operator="containsText" text="REVIEW"/>
    <x:cfRule type="containsText" dxfId="50" priority="39" operator="containsText" text="Hold"/>
    <x:cfRule type="containsText" dxfId="51" priority="40" operator="containsText" text="HOLD"/>
    <x:cfRule type="containsText" dxfId="52" priority="41" operator="containsText" text="FAIL"/>
    <x:cfRule type="containsText" dxfId="53" priority="42" operator="containsText" text="Not Accepted"/>
    <x:cfRule type="containsText" dxfId="54" priority="43" operator="containsText" text="N/A"/>
    <x:cfRule type="containsText" dxfId="55" priority="44" operator="containsText" text="Superseded"/>
    <x:cfRule type="containsText" dxfId="56" priority="45" operator="containsText" text="PASS"/>
    <x:cfRule type="containsText" dxfId="57" priority="46" operator="containsText" text="READY"/>
    <x:cfRule type="containsText" dxfId="58" priority="47" operator="containsText" text="Accepted"/>
    <x:cfRule type="containsText" dxfId="59" priority="48" operator="containsText" text="Confirmed"/>
  </x:conditionalFormatting>
  <x:conditionalFormatting sqref="T6:T26">
    <x:cfRule type="containsText" dxfId="60" priority="49" operator="containsText" text="TBD"/>
    <x:cfRule type="containsText" dxfId="61" priority="50" operator="containsText" text="REVIEW"/>
    <x:cfRule type="containsText" dxfId="62" priority="51" operator="containsText" text="Hold"/>
    <x:cfRule type="containsText" dxfId="63" priority="52" operator="containsText" text="HOLD"/>
    <x:cfRule type="containsText" dxfId="64" priority="53" operator="containsText" text="FAIL"/>
    <x:cfRule type="containsText" dxfId="65" priority="54" operator="containsText" text="Not Accepted"/>
    <x:cfRule type="containsText" dxfId="66" priority="55" operator="containsText" text="N/A"/>
    <x:cfRule type="containsText" dxfId="67" priority="56" operator="containsText" text="Superseded"/>
    <x:cfRule type="containsText" dxfId="68" priority="57" operator="containsText" text="PASS"/>
    <x:cfRule type="containsText" dxfId="69" priority="58" operator="containsText" text="READY"/>
    <x:cfRule type="containsText" dxfId="70" priority="59" operator="containsText" text="Accepted"/>
    <x:cfRule type="containsText" dxfId="71" priority="60" operator="containsText" text="Confirmed"/>
  </x:conditionalFormatting>
  <x:conditionalFormatting sqref="B6:B26">
    <x:cfRule type="duplicateValues" dxfId="72" priority="61"/>
  </x:conditionalFormatting>
  <x:dataValidations count="8">
    <x:dataValidation type="list" sqref="A6:A26">
      <x:formula1>"Confirmed,TBD,Hold"</x:formula1>
    </x:dataValidation>
    <x:dataValidation type="list" sqref="E6:E26">
      <x:formula1>"Hardware,Software,Bundle"</x:formula1>
    </x:dataValidation>
    <x:dataValidation type="list" sqref="H6:H26">
      <x:formula1>"Yes,No,TBD"</x:formula1>
    </x:dataValidation>
    <x:dataValidation type="list" sqref="J6:J26">
      <x:formula1>"Confirmed,TBD,N/A"</x:formula1>
    </x:dataValidation>
    <x:dataValidation type="list" sqref="L6:M26">
      <x:formula1>"Provided,Confirmed,TBD,N/A"</x:formula1>
    </x:dataValidation>
    <x:dataValidation type="list" sqref="O6:O26">
      <x:formula1>"Physical,ESD,License Code,Virtual Kit,Factory Bundle,TBD,N/A"</x:formula1>
    </x:dataValidation>
    <x:dataValidation type="list" sqref="P6:Q26">
      <x:formula1>"Yes,No,TBD,N/A"</x:formula1>
    </x:dataValidation>
    <x:dataValidation type="list" sqref="R6:R26">
      <x:formula1>"Proposed,Active,Hold,Discontinued"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f93d1ac0284e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0" hidden="0" customWidth="1"/>
    <x:col min="4" max="4" width="13" hidden="0" customWidth="1"/>
    <x:col min="5" max="5" width="18" hidden="0" customWidth="1"/>
    <x:col min="6" max="6" width="13" hidden="0" customWidth="1"/>
    <x:col min="7" max="7" width="20" hidden="0" customWidth="1"/>
    <x:col min="8" max="8" width="23" hidden="0" customWidth="1"/>
    <x:col min="9" max="9" width="20" hidden="0" customWidth="1"/>
    <x:col min="10" max="10" width="17" hidden="0" customWidth="1"/>
    <x:col min="11" max="11" width="21" hidden="0" customWidth="1"/>
    <x:col min="12" max="12" width="17" hidden="0" customWidth="1"/>
    <x:col min="13" max="13" width="20" hidden="0" customWidth="1"/>
    <x:col min="14" max="14" width="16" hidden="0" customWidth="1"/>
    <x:col min="15" max="15" width="22" hidden="0" customWidth="1"/>
    <x:col min="16" max="16" width="22" hidden="0" customWidth="1"/>
    <x:col min="17" max="17" width="22" hidden="0" customWidth="1"/>
    <x:col min="18" max="18" width="20" hidden="0" customWidth="1"/>
    <x:col min="19" max="19" width="16" hidden="0" customWidth="1"/>
    <x:col min="20" max="20" width="22" hidden="0" customWidth="1"/>
    <x:col min="21" max="21" width="26" hidden="0" customWidth="1"/>
    <x:col min="22" max="22" width="11" hidden="0" customWidth="1"/>
    <x:col min="23" max="23" width="36" hidden="0" customWidth="1"/>
  </x:cols>
  <x:sheetData>
    <x:row r="1" ht="30" customHeight="1">
      <x:c r="A1" s="3" t="str">
        <x:v>02 - Pricing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8" customHeight="1">
      <x:c r="A2" s="7" t="str">
        <x:v>Controlled source: IDMA-BH-PS-2026-01 v3.5. Stated effective date remains on hold pending the KTS 30-day notice evidence; MAP and rebate Addenda are not accepted.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5" ht="32" customHeight="1">
      <x:c r="A5" s="46" t="str">
        <x:v>Price_Record_Status</x:v>
      </x:c>
      <x:c r="B5" s="46" t="str">
        <x:v>Vendor_SKU</x:v>
      </x:c>
      <x:c r="C5" s="46" t="str">
        <x:v>Currency</x:v>
      </x:c>
      <x:c r="D5" s="46" t="str">
        <x:v>MSRP_USD</x:v>
      </x:c>
      <x:c r="E5" s="46" t="str">
        <x:v>Wholesale_Cost_USD</x:v>
      </x:c>
      <x:c r="F5" s="46" t="str">
        <x:v>Cost_Status</x:v>
      </x:c>
      <x:c r="G5" s="46" t="str">
        <x:v>Source_Original_Value</x:v>
      </x:c>
      <x:c r="H5" s="46" t="str">
        <x:v>Calculated_Original_Value</x:v>
      </x:c>
      <x:c r="I5" s="46" t="str">
        <x:v>Original_Value_Check</x:v>
      </x:c>
      <x:c r="J5" s="46" t="str">
        <x:v>Proposed_MAP_USD</x:v>
      </x:c>
      <x:c r="K5" s="46" t="str">
        <x:v>MAP_Acceptance_Status</x:v>
      </x:c>
      <x:c r="L5" s="46" t="str">
        <x:v>Gross_Margin_Pct</x:v>
      </x:c>
      <x:c r="M5" s="46" t="str">
        <x:v>Bundle_Discount_Pct</x:v>
      </x:c>
      <x:c r="N5" s="46" t="str">
        <x:v>Issue_Date</x:v>
      </x:c>
      <x:c r="O5" s="46" t="str">
        <x:v>Stated_Effective_Date</x:v>
      </x:c>
      <x:c r="P5" s="46" t="str">
        <x:v>Price_Notice_Sent_Date</x:v>
      </x:c>
      <x:c r="Q5" s="46" t="str">
        <x:v>Contract_Effective_Date</x:v>
      </x:c>
      <x:c r="R5" s="46" t="str">
        <x:v>Effective_Date_Check</x:v>
      </x:c>
      <x:c r="S5" s="46" t="str">
        <x:v>Valid_Through</x:v>
      </x:c>
      <x:c r="T5" s="46" t="str">
        <x:v>Rebate_Program_Status</x:v>
      </x:c>
      <x:c r="U5" s="46" t="str">
        <x:v>Price_Schedule_ID_Version</x:v>
      </x:c>
      <x:c r="V5" s="46" t="str">
        <x:v>Source_Page</x:v>
      </x:c>
      <x:c r="W5" s="46" t="str">
        <x:v>Approval_Evidence</x:v>
      </x:c>
    </x:row>
    <x:row r="6">
      <x:c r="A6" s="50" t="str">
        <x:v>Hold</x:v>
      </x:c>
      <x:c r="B6" s="50" t="str">
        <x:v>PP-100</x:v>
      </x:c>
      <x:c r="C6" s="50" t="str">
        <x:v>USD</x:v>
      </x:c>
      <x:c r="D6" s="94" t="n">
        <x:v>399</x:v>
      </x:c>
      <x:c r="E6" s="94" t="n">
        <x:v>279</x:v>
      </x:c>
      <x:c r="F6" s="94" t="str">
        <x:v>Confirmed</x:v>
      </x:c>
      <x:c r="G6" s="94"/>
      <x:c r="H6" s="94" t="str">
        <x:f>IF(G6="","",SUMIF('03_Bundle_BOM'!$A$6:$A$30,B6,'03_Bundle_BOM'!$H$6:$H$30))</x:f>
      </x:c>
      <x:c r="I6" s="94" t="str">
        <x:f>IF(G6="","N/A",IF(ABS(G6-H6)&lt;0.01,"PASS","FAIL"))</x:f>
        <x:v>N/A</x:v>
      </x:c>
      <x:c r="J6" s="94" t="n">
        <x:v>399</x:v>
      </x:c>
      <x:c r="K6" s="50" t="str">
        <x:v>Not Accepted</x:v>
      </x:c>
      <x:c r="L6" s="96" t="n">
        <x:f>IFERROR((D6-E6)/D6,"")</x:f>
        <x:v>0.3007518796992481</x:v>
      </x:c>
      <x:c r="M6" s="96" t="str">
        <x:f>IFERROR((G6-D6)/G6,"")</x:f>
      </x:c>
      <x:c r="N6" s="98" t="n">
        <x:v>46219</x:v>
      </x:c>
      <x:c r="O6" s="98" t="n">
        <x:v>46251</x:v>
      </x:c>
      <x:c r="P6" s="98"/>
      <x:c r="Q6" s="98" t="str">
        <x:f>IF(P6="","",MAX(O6,P6+30))</x:f>
      </x:c>
      <x:c r="R6" s="98" t="str">
        <x:f>IF(P6="","TBD",IF(O6&gt;=P6+30,"PASS","FAIL"))</x:f>
        <x:v>TBD</x:v>
      </x:c>
      <x:c r="S6" s="98" t="n">
        <x:v>46387</x:v>
      </x:c>
      <x:c r="T6" s="50" t="str">
        <x:v>Not Accepted</x:v>
      </x:c>
      <x:c r="U6" s="92" t="str">
        <x:v>IDMA-BH-PS-2026-01 v3.5</x:v>
      </x:c>
      <x:c r="V6" s="92" t="n">
        <x:v>1</x:v>
      </x:c>
      <x:c r="W6" s="92" t="str">
        <x:v>TBD: notice email and addendum acceptance</x:v>
      </x:c>
    </x:row>
    <x:row r="7">
      <x:c r="A7" s="51" t="str">
        <x:v>Hold</x:v>
      </x:c>
      <x:c r="B7" s="51" t="str">
        <x:v>PP-110</x:v>
      </x:c>
      <x:c r="C7" s="51" t="str">
        <x:v>USD</x:v>
      </x:c>
      <x:c r="D7" s="95" t="n">
        <x:v>319</x:v>
      </x:c>
      <x:c r="E7" s="95" t="n">
        <x:v>219</x:v>
      </x:c>
      <x:c r="F7" s="95" t="str">
        <x:v>Confirmed</x:v>
      </x:c>
      <x:c r="G7" s="95"/>
      <x:c r="H7" s="95" t="str">
        <x:f>IF(G7="","",SUMIF('03_Bundle_BOM'!$A$6:$A$30,B7,'03_Bundle_BOM'!$H$6:$H$30))</x:f>
      </x:c>
      <x:c r="I7" s="95" t="str">
        <x:f>IF(G7="","N/A",IF(ABS(G7-H7)&lt;0.01,"PASS","FAIL"))</x:f>
        <x:v>N/A</x:v>
      </x:c>
      <x:c r="J7" s="95" t="n">
        <x:v>319</x:v>
      </x:c>
      <x:c r="K7" s="51" t="str">
        <x:v>Not Accepted</x:v>
      </x:c>
      <x:c r="L7" s="97" t="n">
        <x:f>IFERROR((D7-E7)/D7,"")</x:f>
        <x:v>0.31347962382445144</x:v>
      </x:c>
      <x:c r="M7" s="97" t="str">
        <x:f>IFERROR((G7-D7)/G7,"")</x:f>
      </x:c>
      <x:c r="N7" s="99" t="n">
        <x:v>46219</x:v>
      </x:c>
      <x:c r="O7" s="99" t="n">
        <x:v>46251</x:v>
      </x:c>
      <x:c r="P7" s="99"/>
      <x:c r="Q7" s="99" t="str">
        <x:f>IF(P7="","",MAX(O7,P7+30))</x:f>
      </x:c>
      <x:c r="R7" s="99" t="str">
        <x:f>IF(P7="","TBD",IF(O7&gt;=P7+30,"PASS","FAIL"))</x:f>
        <x:v>TBD</x:v>
      </x:c>
      <x:c r="S7" s="99" t="n">
        <x:v>46387</x:v>
      </x:c>
      <x:c r="T7" s="51" t="str">
        <x:v>Not Accepted</x:v>
      </x:c>
      <x:c r="U7" s="93" t="str">
        <x:v>IDMA-BH-PS-2026-01 v3.5</x:v>
      </x:c>
      <x:c r="V7" s="93" t="n">
        <x:v>1</x:v>
      </x:c>
      <x:c r="W7" s="93" t="str">
        <x:v>TBD: notice email and addendum acceptance</x:v>
      </x:c>
    </x:row>
    <x:row r="8">
      <x:c r="A8" s="51" t="str">
        <x:v>Hold</x:v>
      </x:c>
      <x:c r="B8" s="51" t="str">
        <x:v>PP-120</x:v>
      </x:c>
      <x:c r="C8" s="51" t="str">
        <x:v>USD</x:v>
      </x:c>
      <x:c r="D8" s="95" t="n">
        <x:v>249</x:v>
      </x:c>
      <x:c r="E8" s="95" t="n">
        <x:v>179</x:v>
      </x:c>
      <x:c r="F8" s="95" t="str">
        <x:v>Confirmed</x:v>
      </x:c>
      <x:c r="G8" s="95"/>
      <x:c r="H8" s="95" t="str">
        <x:f>IF(G8="","",SUMIF('03_Bundle_BOM'!$A$6:$A$30,B8,'03_Bundle_BOM'!$H$6:$H$30))</x:f>
      </x:c>
      <x:c r="I8" s="95" t="str">
        <x:f>IF(G8="","N/A",IF(ABS(G8-H8)&lt;0.01,"PASS","FAIL"))</x:f>
        <x:v>N/A</x:v>
      </x:c>
      <x:c r="J8" s="95" t="n">
        <x:v>249</x:v>
      </x:c>
      <x:c r="K8" s="51" t="str">
        <x:v>Not Accepted</x:v>
      </x:c>
      <x:c r="L8" s="97" t="n">
        <x:f>IFERROR((D8-E8)/D8,"")</x:f>
        <x:v>0.28112449799196787</x:v>
      </x:c>
      <x:c r="M8" s="97" t="str">
        <x:f>IFERROR((G8-D8)/G8,"")</x:f>
      </x:c>
      <x:c r="N8" s="99" t="n">
        <x:v>46219</x:v>
      </x:c>
      <x:c r="O8" s="99" t="n">
        <x:v>46251</x:v>
      </x:c>
      <x:c r="P8" s="99"/>
      <x:c r="Q8" s="99" t="str">
        <x:f>IF(P8="","",MAX(O8,P8+30))</x:f>
      </x:c>
      <x:c r="R8" s="99" t="str">
        <x:f>IF(P8="","TBD",IF(O8&gt;=P8+30,"PASS","FAIL"))</x:f>
        <x:v>TBD</x:v>
      </x:c>
      <x:c r="S8" s="99" t="n">
        <x:v>46387</x:v>
      </x:c>
      <x:c r="T8" s="51" t="str">
        <x:v>Not Accepted</x:v>
      </x:c>
      <x:c r="U8" s="93" t="str">
        <x:v>IDMA-BH-PS-2026-01 v3.5</x:v>
      </x:c>
      <x:c r="V8" s="93" t="n">
        <x:v>1</x:v>
      </x:c>
      <x:c r="W8" s="93" t="str">
        <x:v>TBD: notice email and addendum acceptance</x:v>
      </x:c>
    </x:row>
    <x:row r="9">
      <x:c r="A9" s="51" t="str">
        <x:v>Hold</x:v>
      </x:c>
      <x:c r="B9" s="51" t="str">
        <x:v>GW-210</x:v>
      </x:c>
      <x:c r="C9" s="51" t="str">
        <x:v>USD</x:v>
      </x:c>
      <x:c r="D9" s="95" t="n">
        <x:v>399</x:v>
      </x:c>
      <x:c r="E9" s="95" t="n">
        <x:v>279</x:v>
      </x:c>
      <x:c r="F9" s="95" t="str">
        <x:v>Confirmed</x:v>
      </x:c>
      <x:c r="G9" s="95"/>
      <x:c r="H9" s="95" t="str">
        <x:f>IF(G9="","",SUMIF('03_Bundle_BOM'!$A$6:$A$30,B9,'03_Bundle_BOM'!$H$6:$H$30))</x:f>
      </x:c>
      <x:c r="I9" s="95" t="str">
        <x:f>IF(G9="","N/A",IF(ABS(G9-H9)&lt;0.01,"PASS","FAIL"))</x:f>
        <x:v>N/A</x:v>
      </x:c>
      <x:c r="J9" s="95" t="n">
        <x:v>399</x:v>
      </x:c>
      <x:c r="K9" s="51" t="str">
        <x:v>Not Accepted</x:v>
      </x:c>
      <x:c r="L9" s="97" t="n">
        <x:f>IFERROR((D9-E9)/D9,"")</x:f>
        <x:v>0.3007518796992481</x:v>
      </x:c>
      <x:c r="M9" s="97" t="str">
        <x:f>IFERROR((G9-D9)/G9,"")</x:f>
      </x:c>
      <x:c r="N9" s="99" t="n">
        <x:v>46219</x:v>
      </x:c>
      <x:c r="O9" s="99" t="n">
        <x:v>46251</x:v>
      </x:c>
      <x:c r="P9" s="99"/>
      <x:c r="Q9" s="99" t="str">
        <x:f>IF(P9="","",MAX(O9,P9+30))</x:f>
      </x:c>
      <x:c r="R9" s="99" t="str">
        <x:f>IF(P9="","TBD",IF(O9&gt;=P9+30,"PASS","FAIL"))</x:f>
        <x:v>TBD</x:v>
      </x:c>
      <x:c r="S9" s="99" t="n">
        <x:v>46387</x:v>
      </x:c>
      <x:c r="T9" s="51" t="str">
        <x:v>Not Accepted</x:v>
      </x:c>
      <x:c r="U9" s="93" t="str">
        <x:v>IDMA-BH-PS-2026-01 v3.5</x:v>
      </x:c>
      <x:c r="V9" s="93" t="n">
        <x:v>1</x:v>
      </x:c>
      <x:c r="W9" s="93" t="str">
        <x:v>TBD: notice email and addendum acceptance</x:v>
      </x:c>
    </x:row>
    <x:row r="10">
      <x:c r="A10" s="51" t="str">
        <x:v>Hold</x:v>
      </x:c>
      <x:c r="B10" s="51" t="str">
        <x:v>GW-400</x:v>
      </x:c>
      <x:c r="C10" s="51" t="str">
        <x:v>USD</x:v>
      </x:c>
      <x:c r="D10" s="95" t="n">
        <x:v>599</x:v>
      </x:c>
      <x:c r="E10" s="95" t="n">
        <x:v>419</x:v>
      </x:c>
      <x:c r="F10" s="95" t="str">
        <x:v>Confirmed</x:v>
      </x:c>
      <x:c r="G10" s="95"/>
      <x:c r="H10" s="95" t="str">
        <x:f>IF(G10="","",SUMIF('03_Bundle_BOM'!$A$6:$A$30,B10,'03_Bundle_BOM'!$H$6:$H$30))</x:f>
      </x:c>
      <x:c r="I10" s="95" t="str">
        <x:f>IF(G10="","N/A",IF(ABS(G10-H10)&lt;0.01,"PASS","FAIL"))</x:f>
        <x:v>N/A</x:v>
      </x:c>
      <x:c r="J10" s="95" t="n">
        <x:v>599</x:v>
      </x:c>
      <x:c r="K10" s="51" t="str">
        <x:v>Not Accepted</x:v>
      </x:c>
      <x:c r="L10" s="97" t="n">
        <x:f>IFERROR((D10-E10)/D10,"")</x:f>
        <x:v>0.3005008347245409</x:v>
      </x:c>
      <x:c r="M10" s="97" t="str">
        <x:f>IFERROR((G10-D10)/G10,"")</x:f>
      </x:c>
      <x:c r="N10" s="99" t="n">
        <x:v>46219</x:v>
      </x:c>
      <x:c r="O10" s="99" t="n">
        <x:v>46251</x:v>
      </x:c>
      <x:c r="P10" s="99"/>
      <x:c r="Q10" s="99" t="str">
        <x:f>IF(P10="","",MAX(O10,P10+30))</x:f>
      </x:c>
      <x:c r="R10" s="99" t="str">
        <x:f>IF(P10="","TBD",IF(O10&gt;=P10+30,"PASS","FAIL"))</x:f>
        <x:v>TBD</x:v>
      </x:c>
      <x:c r="S10" s="99" t="n">
        <x:v>46387</x:v>
      </x:c>
      <x:c r="T10" s="51" t="str">
        <x:v>Not Accepted</x:v>
      </x:c>
      <x:c r="U10" s="93" t="str">
        <x:v>IDMA-BH-PS-2026-01 v3.5</x:v>
      </x:c>
      <x:c r="V10" s="93" t="n">
        <x:v>1</x:v>
      </x:c>
      <x:c r="W10" s="93" t="str">
        <x:v>TBD: notice email and addendum acceptance</x:v>
      </x:c>
    </x:row>
    <x:row r="11">
      <x:c r="A11" s="51" t="str">
        <x:v>Hold</x:v>
      </x:c>
      <x:c r="B11" s="51" t="str">
        <x:v>HEM-100</x:v>
      </x:c>
      <x:c r="C11" s="51" t="str">
        <x:v>USD</x:v>
      </x:c>
      <x:c r="D11" s="95" t="n">
        <x:v>299</x:v>
      </x:c>
      <x:c r="E11" s="95" t="n">
        <x:v>209</x:v>
      </x:c>
      <x:c r="F11" s="95" t="str">
        <x:v>Confirmed</x:v>
      </x:c>
      <x:c r="G11" s="95"/>
      <x:c r="H11" s="95" t="str">
        <x:f>IF(G11="","",SUMIF('03_Bundle_BOM'!$A$6:$A$30,B11,'03_Bundle_BOM'!$H$6:$H$30))</x:f>
      </x:c>
      <x:c r="I11" s="95" t="str">
        <x:f>IF(G11="","N/A",IF(ABS(G11-H11)&lt;0.01,"PASS","FAIL"))</x:f>
        <x:v>N/A</x:v>
      </x:c>
      <x:c r="J11" s="95" t="n">
        <x:v>299</x:v>
      </x:c>
      <x:c r="K11" s="51" t="str">
        <x:v>Not Accepted</x:v>
      </x:c>
      <x:c r="L11" s="97" t="n">
        <x:f>IFERROR((D11-E11)/D11,"")</x:f>
        <x:v>0.3010033444816054</x:v>
      </x:c>
      <x:c r="M11" s="97" t="str">
        <x:f>IFERROR((G11-D11)/G11,"")</x:f>
      </x:c>
      <x:c r="N11" s="99" t="n">
        <x:v>46219</x:v>
      </x:c>
      <x:c r="O11" s="99" t="n">
        <x:v>46251</x:v>
      </x:c>
      <x:c r="P11" s="99"/>
      <x:c r="Q11" s="99" t="str">
        <x:f>IF(P11="","",MAX(O11,P11+30))</x:f>
      </x:c>
      <x:c r="R11" s="99" t="str">
        <x:f>IF(P11="","TBD",IF(O11&gt;=P11+30,"PASS","FAIL"))</x:f>
        <x:v>TBD</x:v>
      </x:c>
      <x:c r="S11" s="99" t="n">
        <x:v>46387</x:v>
      </x:c>
      <x:c r="T11" s="51" t="str">
        <x:v>Not Accepted</x:v>
      </x:c>
      <x:c r="U11" s="93" t="str">
        <x:v>IDMA-BH-PS-2026-01 v3.5</x:v>
      </x:c>
      <x:c r="V11" s="93" t="n">
        <x:v>1</x:v>
      </x:c>
      <x:c r="W11" s="93" t="str">
        <x:v>TBD: notice email and addendum acceptance</x:v>
      </x:c>
    </x:row>
    <x:row r="12">
      <x:c r="A12" s="51" t="str">
        <x:v>Hold</x:v>
      </x:c>
      <x:c r="B12" s="51" t="str">
        <x:v>SW-OPS</x:v>
      </x:c>
      <x:c r="C12" s="51" t="str">
        <x:v>USD</x:v>
      </x:c>
      <x:c r="D12" s="95" t="n">
        <x:v>379</x:v>
      </x:c>
      <x:c r="E12" s="95" t="n">
        <x:v>269</x:v>
      </x:c>
      <x:c r="F12" s="95" t="str">
        <x:v>Confirmed</x:v>
      </x:c>
      <x:c r="G12" s="95"/>
      <x:c r="H12" s="95" t="str">
        <x:f>IF(G12="","",SUMIF('03_Bundle_BOM'!$A$6:$A$30,B12,'03_Bundle_BOM'!$H$6:$H$30))</x:f>
      </x:c>
      <x:c r="I12" s="95" t="str">
        <x:f>IF(G12="","N/A",IF(ABS(G12-H12)&lt;0.01,"PASS","FAIL"))</x:f>
        <x:v>N/A</x:v>
      </x:c>
      <x:c r="J12" s="95" t="n">
        <x:v>379</x:v>
      </x:c>
      <x:c r="K12" s="51" t="str">
        <x:v>Not Accepted</x:v>
      </x:c>
      <x:c r="L12" s="97" t="n">
        <x:f>IFERROR((D12-E12)/D12,"")</x:f>
        <x:v>0.29023746701846964</x:v>
      </x:c>
      <x:c r="M12" s="97" t="str">
        <x:f>IFERROR((G12-D12)/G12,"")</x:f>
      </x:c>
      <x:c r="N12" s="99" t="n">
        <x:v>46219</x:v>
      </x:c>
      <x:c r="O12" s="99" t="n">
        <x:v>46251</x:v>
      </x:c>
      <x:c r="P12" s="99"/>
      <x:c r="Q12" s="99" t="str">
        <x:f>IF(P12="","",MAX(O12,P12+30))</x:f>
      </x:c>
      <x:c r="R12" s="99" t="str">
        <x:f>IF(P12="","TBD",IF(O12&gt;=P12+30,"PASS","FAIL"))</x:f>
        <x:v>TBD</x:v>
      </x:c>
      <x:c r="S12" s="99" t="n">
        <x:v>46387</x:v>
      </x:c>
      <x:c r="T12" s="51" t="str">
        <x:v>Not Accepted</x:v>
      </x:c>
      <x:c r="U12" s="93" t="str">
        <x:v>IDMA-BH-PS-2026-01 v3.5</x:v>
      </x:c>
      <x:c r="V12" s="93" t="n">
        <x:v>1</x:v>
      </x:c>
      <x:c r="W12" s="93" t="str">
        <x:v>TBD: notice email and addendum acceptance</x:v>
      </x:c>
    </x:row>
    <x:row r="13">
      <x:c r="A13" s="51" t="str">
        <x:v>Hold</x:v>
      </x:c>
      <x:c r="B13" s="51" t="str">
        <x:v>SW-CE</x:v>
      </x:c>
      <x:c r="C13" s="51" t="str">
        <x:v>USD</x:v>
      </x:c>
      <x:c r="D13" s="95" t="n">
        <x:v>249</x:v>
      </x:c>
      <x:c r="E13" s="95" t="n">
        <x:v>179</x:v>
      </x:c>
      <x:c r="F13" s="95" t="str">
        <x:v>Confirmed</x:v>
      </x:c>
      <x:c r="G13" s="95"/>
      <x:c r="H13" s="95" t="str">
        <x:f>IF(G13="","",SUMIF('03_Bundle_BOM'!$A$6:$A$30,B13,'03_Bundle_BOM'!$H$6:$H$30))</x:f>
      </x:c>
      <x:c r="I13" s="95" t="str">
        <x:f>IF(G13="","N/A",IF(ABS(G13-H13)&lt;0.01,"PASS","FAIL"))</x:f>
        <x:v>N/A</x:v>
      </x:c>
      <x:c r="J13" s="95" t="n">
        <x:v>249</x:v>
      </x:c>
      <x:c r="K13" s="51" t="str">
        <x:v>Not Accepted</x:v>
      </x:c>
      <x:c r="L13" s="97" t="n">
        <x:f>IFERROR((D13-E13)/D13,"")</x:f>
        <x:v>0.28112449799196787</x:v>
      </x:c>
      <x:c r="M13" s="97" t="str">
        <x:f>IFERROR((G13-D13)/G13,"")</x:f>
      </x:c>
      <x:c r="N13" s="99" t="n">
        <x:v>46219</x:v>
      </x:c>
      <x:c r="O13" s="99" t="n">
        <x:v>46251</x:v>
      </x:c>
      <x:c r="P13" s="99"/>
      <x:c r="Q13" s="99" t="str">
        <x:f>IF(P13="","",MAX(O13,P13+30))</x:f>
      </x:c>
      <x:c r="R13" s="99" t="str">
        <x:f>IF(P13="","TBD",IF(O13&gt;=P13+30,"PASS","FAIL"))</x:f>
        <x:v>TBD</x:v>
      </x:c>
      <x:c r="S13" s="99" t="n">
        <x:v>46387</x:v>
      </x:c>
      <x:c r="T13" s="51" t="str">
        <x:v>Not Accepted</x:v>
      </x:c>
      <x:c r="U13" s="93" t="str">
        <x:v>IDMA-BH-PS-2026-01 v3.5</x:v>
      </x:c>
      <x:c r="V13" s="93" t="n">
        <x:v>1</x:v>
      </x:c>
      <x:c r="W13" s="93" t="str">
        <x:v>TBD: notice email and addendum acceptance</x:v>
      </x:c>
    </x:row>
    <x:row r="14">
      <x:c r="A14" s="51" t="str">
        <x:v>Hold</x:v>
      </x:c>
      <x:c r="B14" s="51" t="str">
        <x:v>SW-ZOOM</x:v>
      </x:c>
      <x:c r="C14" s="51" t="str">
        <x:v>USD</x:v>
      </x:c>
      <x:c r="D14" s="95" t="n">
        <x:v>129</x:v>
      </x:c>
      <x:c r="E14" s="95" t="n">
        <x:v>89</x:v>
      </x:c>
      <x:c r="F14" s="95" t="str">
        <x:v>Confirmed</x:v>
      </x:c>
      <x:c r="G14" s="95"/>
      <x:c r="H14" s="95" t="str">
        <x:f>IF(G14="","",SUMIF('03_Bundle_BOM'!$A$6:$A$30,B14,'03_Bundle_BOM'!$H$6:$H$30))</x:f>
      </x:c>
      <x:c r="I14" s="95" t="str">
        <x:f>IF(G14="","N/A",IF(ABS(G14-H14)&lt;0.01,"PASS","FAIL"))</x:f>
        <x:v>N/A</x:v>
      </x:c>
      <x:c r="J14" s="95" t="n">
        <x:v>129</x:v>
      </x:c>
      <x:c r="K14" s="51" t="str">
        <x:v>Not Accepted</x:v>
      </x:c>
      <x:c r="L14" s="97" t="n">
        <x:f>IFERROR((D14-E14)/D14,"")</x:f>
        <x:v>0.31007751937984496</x:v>
      </x:c>
      <x:c r="M14" s="97" t="str">
        <x:f>IFERROR((G14-D14)/G14,"")</x:f>
      </x:c>
      <x:c r="N14" s="99" t="n">
        <x:v>46219</x:v>
      </x:c>
      <x:c r="O14" s="99" t="n">
        <x:v>46251</x:v>
      </x:c>
      <x:c r="P14" s="99"/>
      <x:c r="Q14" s="99" t="str">
        <x:f>IF(P14="","",MAX(O14,P14+30))</x:f>
      </x:c>
      <x:c r="R14" s="99" t="str">
        <x:f>IF(P14="","TBD",IF(O14&gt;=P14+30,"PASS","FAIL"))</x:f>
        <x:v>TBD</x:v>
      </x:c>
      <x:c r="S14" s="99" t="n">
        <x:v>46387</x:v>
      </x:c>
      <x:c r="T14" s="51" t="str">
        <x:v>Not Accepted</x:v>
      </x:c>
      <x:c r="U14" s="93" t="str">
        <x:v>IDMA-BH-PS-2026-01 v3.5</x:v>
      </x:c>
      <x:c r="V14" s="93" t="n">
        <x:v>1</x:v>
      </x:c>
      <x:c r="W14" s="93" t="str">
        <x:v>TBD: notice email and addendum acceptance</x:v>
      </x:c>
    </x:row>
    <x:row r="15">
      <x:c r="A15" s="51" t="str">
        <x:v>Hold</x:v>
      </x:c>
      <x:c r="B15" s="51" t="str">
        <x:v>SW-HOME</x:v>
      </x:c>
      <x:c r="C15" s="51" t="str">
        <x:v>USD</x:v>
      </x:c>
      <x:c r="D15" s="95" t="n">
        <x:v>0</x:v>
      </x:c>
      <x:c r="E15" s="95"/>
      <x:c r="F15" s="95" t="str">
        <x:v>TBD</x:v>
      </x:c>
      <x:c r="G15" s="95"/>
      <x:c r="H15" s="95" t="str">
        <x:f>IF(G15="","",SUMIF('03_Bundle_BOM'!$A$6:$A$30,B15,'03_Bundle_BOM'!$H$6:$H$30))</x:f>
      </x:c>
      <x:c r="I15" s="95" t="str">
        <x:f>IF(G15="","N/A",IF(ABS(G15-H15)&lt;0.01,"PASS","FAIL"))</x:f>
        <x:v>N/A</x:v>
      </x:c>
      <x:c r="J15" s="95" t="n">
        <x:v>0</x:v>
      </x:c>
      <x:c r="K15" s="51" t="str">
        <x:v>Not Accepted</x:v>
      </x:c>
      <x:c r="L15" s="97" t="str">
        <x:f>IFERROR((D15-E15)/D15,"")</x:f>
      </x:c>
      <x:c r="M15" s="97" t="str">
        <x:f>IFERROR((G15-D15)/G15,"")</x:f>
      </x:c>
      <x:c r="N15" s="99" t="n">
        <x:v>46219</x:v>
      </x:c>
      <x:c r="O15" s="99" t="n">
        <x:v>46251</x:v>
      </x:c>
      <x:c r="P15" s="99"/>
      <x:c r="Q15" s="99" t="str">
        <x:f>IF(P15="","",MAX(O15,P15+30))</x:f>
      </x:c>
      <x:c r="R15" s="99" t="str">
        <x:f>IF(P15="","TBD",IF(O15&gt;=P15+30,"PASS","FAIL"))</x:f>
        <x:v>TBD</x:v>
      </x:c>
      <x:c r="S15" s="99" t="n">
        <x:v>46387</x:v>
      </x:c>
      <x:c r="T15" s="51" t="str">
        <x:v>Not Accepted</x:v>
      </x:c>
      <x:c r="U15" s="93" t="str">
        <x:v>IDMA-BH-PS-2026-01 v3.5</x:v>
      </x:c>
      <x:c r="V15" s="93" t="n">
        <x:v>1</x:v>
      </x:c>
      <x:c r="W15" s="93" t="str">
        <x:v>TBD: notice email and addendum acceptance</x:v>
      </x:c>
    </x:row>
    <x:row r="16">
      <x:c r="A16" s="51" t="str">
        <x:v>Hold</x:v>
      </x:c>
      <x:c r="B16" s="51" t="str">
        <x:v>BND-GW-100</x:v>
      </x:c>
      <x:c r="C16" s="51" t="str">
        <x:v>USD</x:v>
      </x:c>
      <x:c r="D16" s="95" t="n">
        <x:v>769</x:v>
      </x:c>
      <x:c r="E16" s="95" t="n">
        <x:v>539</x:v>
      </x:c>
      <x:c r="F16" s="95" t="str">
        <x:v>Confirmed</x:v>
      </x:c>
      <x:c r="G16" s="95" t="n">
        <x:v>1047</x:v>
      </x:c>
      <x:c r="H16" s="95" t="n">
        <x:f>IF(G16="","",SUMIF('03_Bundle_BOM'!$A$6:$A$30,B16,'03_Bundle_BOM'!$H$6:$H$30))</x:f>
        <x:v>1047</x:v>
      </x:c>
      <x:c r="I16" s="95" t="str">
        <x:f>IF(G16="","N/A",IF(ABS(G16-H16)&lt;0.01,"PASS","FAIL"))</x:f>
        <x:v>PASS</x:v>
      </x:c>
      <x:c r="J16" s="95" t="n">
        <x:v>769</x:v>
      </x:c>
      <x:c r="K16" s="51" t="str">
        <x:v>Not Accepted</x:v>
      </x:c>
      <x:c r="L16" s="97" t="n">
        <x:f>IFERROR((D16-E16)/D16,"")</x:f>
        <x:v>0.29908972691807545</x:v>
      </x:c>
      <x:c r="M16" s="97" t="n">
        <x:f>IFERROR((G16-D16)/G16,"")</x:f>
        <x:v>0.26552053486150906</x:v>
      </x:c>
      <x:c r="N16" s="99" t="n">
        <x:v>46219</x:v>
      </x:c>
      <x:c r="O16" s="99" t="n">
        <x:v>46251</x:v>
      </x:c>
      <x:c r="P16" s="99"/>
      <x:c r="Q16" s="99" t="str">
        <x:f>IF(P16="","",MAX(O16,P16+30))</x:f>
      </x:c>
      <x:c r="R16" s="99" t="str">
        <x:f>IF(P16="","TBD",IF(O16&gt;=P16+30,"PASS","FAIL"))</x:f>
        <x:v>TBD</x:v>
      </x:c>
      <x:c r="S16" s="99" t="n">
        <x:v>46387</x:v>
      </x:c>
      <x:c r="T16" s="51" t="str">
        <x:v>Not Accepted</x:v>
      </x:c>
      <x:c r="U16" s="93" t="str">
        <x:v>IDMA-BH-PS-2026-01 v3.5</x:v>
      </x:c>
      <x:c r="V16" s="93" t="n">
        <x:v>2</x:v>
      </x:c>
      <x:c r="W16" s="93" t="str">
        <x:v>TBD: notice email and addendum acceptance</x:v>
      </x:c>
    </x:row>
    <x:row r="17">
      <x:c r="A17" s="51" t="str">
        <x:v>Hold</x:v>
      </x:c>
      <x:c r="B17" s="51" t="str">
        <x:v>BND-GW-110</x:v>
      </x:c>
      <x:c r="C17" s="51" t="str">
        <x:v>USD</x:v>
      </x:c>
      <x:c r="D17" s="95" t="n">
        <x:v>709</x:v>
      </x:c>
      <x:c r="E17" s="95" t="n">
        <x:v>499</x:v>
      </x:c>
      <x:c r="F17" s="95" t="str">
        <x:v>Confirmed</x:v>
      </x:c>
      <x:c r="G17" s="95" t="n">
        <x:v>967</x:v>
      </x:c>
      <x:c r="H17" s="95" t="n">
        <x:f>IF(G17="","",SUMIF('03_Bundle_BOM'!$A$6:$A$30,B17,'03_Bundle_BOM'!$H$6:$H$30))</x:f>
        <x:v>967</x:v>
      </x:c>
      <x:c r="I17" s="95" t="str">
        <x:f>IF(G17="","N/A",IF(ABS(G17-H17)&lt;0.01,"PASS","FAIL"))</x:f>
        <x:v>PASS</x:v>
      </x:c>
      <x:c r="J17" s="95" t="n">
        <x:v>709</x:v>
      </x:c>
      <x:c r="K17" s="51" t="str">
        <x:v>Not Accepted</x:v>
      </x:c>
      <x:c r="L17" s="97" t="n">
        <x:f>IFERROR((D17-E17)/D17,"")</x:f>
        <x:v>0.29619181946403383</x:v>
      </x:c>
      <x:c r="M17" s="97" t="n">
        <x:f>IFERROR((G17-D17)/G17,"")</x:f>
        <x:v>0.26680455015511895</x:v>
      </x:c>
      <x:c r="N17" s="99" t="n">
        <x:v>46219</x:v>
      </x:c>
      <x:c r="O17" s="99" t="n">
        <x:v>46251</x:v>
      </x:c>
      <x:c r="P17" s="99"/>
      <x:c r="Q17" s="99" t="str">
        <x:f>IF(P17="","",MAX(O17,P17+30))</x:f>
      </x:c>
      <x:c r="R17" s="99" t="str">
        <x:f>IF(P17="","TBD",IF(O17&gt;=P17+30,"PASS","FAIL"))</x:f>
        <x:v>TBD</x:v>
      </x:c>
      <x:c r="S17" s="99" t="n">
        <x:v>46387</x:v>
      </x:c>
      <x:c r="T17" s="51" t="str">
        <x:v>Not Accepted</x:v>
      </x:c>
      <x:c r="U17" s="93" t="str">
        <x:v>IDMA-BH-PS-2026-01 v3.5</x:v>
      </x:c>
      <x:c r="V17" s="93" t="n">
        <x:v>2</x:v>
      </x:c>
      <x:c r="W17" s="93" t="str">
        <x:v>TBD: notice email and addendum acceptance</x:v>
      </x:c>
    </x:row>
    <x:row r="18">
      <x:c r="A18" s="51" t="str">
        <x:v>Hold</x:v>
      </x:c>
      <x:c r="B18" s="51" t="str">
        <x:v>BND-GW-120</x:v>
      </x:c>
      <x:c r="C18" s="51" t="str">
        <x:v>USD</x:v>
      </x:c>
      <x:c r="D18" s="95" t="n">
        <x:v>649</x:v>
      </x:c>
      <x:c r="E18" s="95" t="n">
        <x:v>459</x:v>
      </x:c>
      <x:c r="F18" s="95" t="str">
        <x:v>Confirmed</x:v>
      </x:c>
      <x:c r="G18" s="95" t="n">
        <x:v>897</x:v>
      </x:c>
      <x:c r="H18" s="95" t="n">
        <x:f>IF(G18="","",SUMIF('03_Bundle_BOM'!$A$6:$A$30,B18,'03_Bundle_BOM'!$H$6:$H$30))</x:f>
        <x:v>897</x:v>
      </x:c>
      <x:c r="I18" s="95" t="str">
        <x:f>IF(G18="","N/A",IF(ABS(G18-H18)&lt;0.01,"PASS","FAIL"))</x:f>
        <x:v>PASS</x:v>
      </x:c>
      <x:c r="J18" s="95" t="n">
        <x:v>649</x:v>
      </x:c>
      <x:c r="K18" s="51" t="str">
        <x:v>Not Accepted</x:v>
      </x:c>
      <x:c r="L18" s="97" t="n">
        <x:f>IFERROR((D18-E18)/D18,"")</x:f>
        <x:v>0.29275808936825887</x:v>
      </x:c>
      <x:c r="M18" s="97" t="n">
        <x:f>IFERROR((G18-D18)/G18,"")</x:f>
        <x:v>0.27647714604236345</x:v>
      </x:c>
      <x:c r="N18" s="99" t="n">
        <x:v>46219</x:v>
      </x:c>
      <x:c r="O18" s="99" t="n">
        <x:v>46251</x:v>
      </x:c>
      <x:c r="P18" s="99"/>
      <x:c r="Q18" s="99" t="str">
        <x:f>IF(P18="","",MAX(O18,P18+30))</x:f>
      </x:c>
      <x:c r="R18" s="99" t="str">
        <x:f>IF(P18="","TBD",IF(O18&gt;=P18+30,"PASS","FAIL"))</x:f>
        <x:v>TBD</x:v>
      </x:c>
      <x:c r="S18" s="99" t="n">
        <x:v>46387</x:v>
      </x:c>
      <x:c r="T18" s="51" t="str">
        <x:v>Not Accepted</x:v>
      </x:c>
      <x:c r="U18" s="93" t="str">
        <x:v>IDMA-BH-PS-2026-01 v3.5</x:v>
      </x:c>
      <x:c r="V18" s="93" t="n">
        <x:v>2</x:v>
      </x:c>
      <x:c r="W18" s="93" t="str">
        <x:v>TBD: notice email and addendum acceptance</x:v>
      </x:c>
    </x:row>
    <x:row r="19">
      <x:c r="A19" s="51" t="str">
        <x:v>Hold</x:v>
      </x:c>
      <x:c r="B19" s="51" t="str">
        <x:v>BND-ZOOM-100</x:v>
      </x:c>
      <x:c r="C19" s="51" t="str">
        <x:v>USD</x:v>
      </x:c>
      <x:c r="D19" s="95" t="n">
        <x:v>449</x:v>
      </x:c>
      <x:c r="E19" s="95" t="n">
        <x:v>319</x:v>
      </x:c>
      <x:c r="F19" s="95" t="str">
        <x:v>Confirmed</x:v>
      </x:c>
      <x:c r="G19" s="95" t="n">
        <x:v>528</x:v>
      </x:c>
      <x:c r="H19" s="95" t="n">
        <x:f>IF(G19="","",SUMIF('03_Bundle_BOM'!$A$6:$A$30,B19,'03_Bundle_BOM'!$H$6:$H$30))</x:f>
        <x:v>528</x:v>
      </x:c>
      <x:c r="I19" s="95" t="str">
        <x:f>IF(G19="","N/A",IF(ABS(G19-H19)&lt;0.01,"PASS","FAIL"))</x:f>
        <x:v>PASS</x:v>
      </x:c>
      <x:c r="J19" s="95" t="n">
        <x:v>449</x:v>
      </x:c>
      <x:c r="K19" s="51" t="str">
        <x:v>Not Accepted</x:v>
      </x:c>
      <x:c r="L19" s="97" t="n">
        <x:f>IFERROR((D19-E19)/D19,"")</x:f>
        <x:v>0.289532293986637</x:v>
      </x:c>
      <x:c r="M19" s="97" t="n">
        <x:f>IFERROR((G19-D19)/G19,"")</x:f>
        <x:v>0.14962121212121213</x:v>
      </x:c>
      <x:c r="N19" s="99" t="n">
        <x:v>46219</x:v>
      </x:c>
      <x:c r="O19" s="99" t="n">
        <x:v>46251</x:v>
      </x:c>
      <x:c r="P19" s="99"/>
      <x:c r="Q19" s="99" t="str">
        <x:f>IF(P19="","",MAX(O19,P19+30))</x:f>
      </x:c>
      <x:c r="R19" s="99" t="str">
        <x:f>IF(P19="","TBD",IF(O19&gt;=P19+30,"PASS","FAIL"))</x:f>
        <x:v>TBD</x:v>
      </x:c>
      <x:c r="S19" s="99" t="n">
        <x:v>46387</x:v>
      </x:c>
      <x:c r="T19" s="51" t="str">
        <x:v>Not Accepted</x:v>
      </x:c>
      <x:c r="U19" s="93" t="str">
        <x:v>IDMA-BH-PS-2026-01 v3.5</x:v>
      </x:c>
      <x:c r="V19" s="93" t="n">
        <x:v>2</x:v>
      </x:c>
      <x:c r="W19" s="93" t="str">
        <x:v>TBD: notice email and addendum acceptance</x:v>
      </x:c>
    </x:row>
    <x:row r="20">
      <x:c r="A20" s="51" t="str">
        <x:v>Hold</x:v>
      </x:c>
      <x:c r="B20" s="51" t="str">
        <x:v>BND-ZOOM-110</x:v>
      </x:c>
      <x:c r="C20" s="51" t="str">
        <x:v>USD</x:v>
      </x:c>
      <x:c r="D20" s="95" t="n">
        <x:v>379</x:v>
      </x:c>
      <x:c r="E20" s="95" t="n">
        <x:v>269</x:v>
      </x:c>
      <x:c r="F20" s="95" t="str">
        <x:v>Confirmed</x:v>
      </x:c>
      <x:c r="G20" s="95" t="n">
        <x:v>448</x:v>
      </x:c>
      <x:c r="H20" s="95" t="n">
        <x:f>IF(G20="","",SUMIF('03_Bundle_BOM'!$A$6:$A$30,B20,'03_Bundle_BOM'!$H$6:$H$30))</x:f>
        <x:v>448</x:v>
      </x:c>
      <x:c r="I20" s="95" t="str">
        <x:f>IF(G20="","N/A",IF(ABS(G20-H20)&lt;0.01,"PASS","FAIL"))</x:f>
        <x:v>PASS</x:v>
      </x:c>
      <x:c r="J20" s="95" t="n">
        <x:v>379</x:v>
      </x:c>
      <x:c r="K20" s="51" t="str">
        <x:v>Not Accepted</x:v>
      </x:c>
      <x:c r="L20" s="97" t="n">
        <x:f>IFERROR((D20-E20)/D20,"")</x:f>
        <x:v>0.29023746701846964</x:v>
      </x:c>
      <x:c r="M20" s="97" t="n">
        <x:f>IFERROR((G20-D20)/G20,"")</x:f>
        <x:v>0.15401785714285715</x:v>
      </x:c>
      <x:c r="N20" s="99" t="n">
        <x:v>46219</x:v>
      </x:c>
      <x:c r="O20" s="99" t="n">
        <x:v>46251</x:v>
      </x:c>
      <x:c r="P20" s="99"/>
      <x:c r="Q20" s="99" t="str">
        <x:f>IF(P20="","",MAX(O20,P20+30))</x:f>
      </x:c>
      <x:c r="R20" s="99" t="str">
        <x:f>IF(P20="","TBD",IF(O20&gt;=P20+30,"PASS","FAIL"))</x:f>
        <x:v>TBD</x:v>
      </x:c>
      <x:c r="S20" s="99" t="n">
        <x:v>46387</x:v>
      </x:c>
      <x:c r="T20" s="51" t="str">
        <x:v>Not Accepted</x:v>
      </x:c>
      <x:c r="U20" s="93" t="str">
        <x:v>IDMA-BH-PS-2026-01 v3.5</x:v>
      </x:c>
      <x:c r="V20" s="93" t="n">
        <x:v>2</x:v>
      </x:c>
      <x:c r="W20" s="93" t="str">
        <x:v>TBD: notice email and addendum acceptance</x:v>
      </x:c>
    </x:row>
    <x:row r="21">
      <x:c r="A21" s="51" t="str">
        <x:v>Hold</x:v>
      </x:c>
      <x:c r="B21" s="51" t="str">
        <x:v>BND-ZOOM-120</x:v>
      </x:c>
      <x:c r="C21" s="51" t="str">
        <x:v>USD</x:v>
      </x:c>
      <x:c r="D21" s="95" t="n">
        <x:v>319</x:v>
      </x:c>
      <x:c r="E21" s="95" t="n">
        <x:v>219</x:v>
      </x:c>
      <x:c r="F21" s="95" t="str">
        <x:v>Confirmed</x:v>
      </x:c>
      <x:c r="G21" s="95" t="n">
        <x:v>378</x:v>
      </x:c>
      <x:c r="H21" s="95" t="n">
        <x:f>IF(G21="","",SUMIF('03_Bundle_BOM'!$A$6:$A$30,B21,'03_Bundle_BOM'!$H$6:$H$30))</x:f>
        <x:v>378</x:v>
      </x:c>
      <x:c r="I21" s="95" t="str">
        <x:f>IF(G21="","N/A",IF(ABS(G21-H21)&lt;0.01,"PASS","FAIL"))</x:f>
        <x:v>PASS</x:v>
      </x:c>
      <x:c r="J21" s="95" t="n">
        <x:v>319</x:v>
      </x:c>
      <x:c r="K21" s="51" t="str">
        <x:v>Not Accepted</x:v>
      </x:c>
      <x:c r="L21" s="97" t="n">
        <x:f>IFERROR((D21-E21)/D21,"")</x:f>
        <x:v>0.31347962382445144</x:v>
      </x:c>
      <x:c r="M21" s="97" t="n">
        <x:f>IFERROR((G21-D21)/G21,"")</x:f>
        <x:v>0.15608465608465608</x:v>
      </x:c>
      <x:c r="N21" s="99" t="n">
        <x:v>46219</x:v>
      </x:c>
      <x:c r="O21" s="99" t="n">
        <x:v>46251</x:v>
      </x:c>
      <x:c r="P21" s="99"/>
      <x:c r="Q21" s="99" t="str">
        <x:f>IF(P21="","",MAX(O21,P21+30))</x:f>
      </x:c>
      <x:c r="R21" s="99" t="str">
        <x:f>IF(P21="","TBD",IF(O21&gt;=P21+30,"PASS","FAIL"))</x:f>
        <x:v>TBD</x:v>
      </x:c>
      <x:c r="S21" s="99" t="n">
        <x:v>46387</x:v>
      </x:c>
      <x:c r="T21" s="51" t="str">
        <x:v>Not Accepted</x:v>
      </x:c>
      <x:c r="U21" s="93" t="str">
        <x:v>IDMA-BH-PS-2026-01 v3.5</x:v>
      </x:c>
      <x:c r="V21" s="93" t="n">
        <x:v>2</x:v>
      </x:c>
      <x:c r="W21" s="93" t="str">
        <x:v>TBD: notice email and addendum acceptance</x:v>
      </x:c>
    </x:row>
    <x:row r="22">
      <x:c r="A22" s="51" t="str">
        <x:v>Hold</x:v>
      </x:c>
      <x:c r="B22" s="51" t="str">
        <x:v>BND-OPS-100</x:v>
      </x:c>
      <x:c r="C22" s="51" t="str">
        <x:v>USD</x:v>
      </x:c>
      <x:c r="D22" s="95" t="n">
        <x:v>2019</x:v>
      </x:c>
      <x:c r="E22" s="95" t="n">
        <x:v>1409</x:v>
      </x:c>
      <x:c r="F22" s="95" t="str">
        <x:v>Confirmed</x:v>
      </x:c>
      <x:c r="G22" s="95" t="n">
        <x:v>2374</x:v>
      </x:c>
      <x:c r="H22" s="95" t="n">
        <x:f>IF(G22="","",SUMIF('03_Bundle_BOM'!$A$6:$A$30,B22,'03_Bundle_BOM'!$H$6:$H$30))</x:f>
        <x:v>2374</x:v>
      </x:c>
      <x:c r="I22" s="95" t="str">
        <x:f>IF(G22="","N/A",IF(ABS(G22-H22)&lt;0.01,"PASS","FAIL"))</x:f>
        <x:v>PASS</x:v>
      </x:c>
      <x:c r="J22" s="95" t="n">
        <x:v>2019</x:v>
      </x:c>
      <x:c r="K22" s="51" t="str">
        <x:v>Not Accepted</x:v>
      </x:c>
      <x:c r="L22" s="97" t="n">
        <x:f>IFERROR((D22-E22)/D22,"")</x:f>
        <x:v>0.3021297672114908</x:v>
      </x:c>
      <x:c r="M22" s="97" t="n">
        <x:f>IFERROR((G22-D22)/G22,"")</x:f>
        <x:v>0.14953664700926705</x:v>
      </x:c>
      <x:c r="N22" s="99" t="n">
        <x:v>46219</x:v>
      </x:c>
      <x:c r="O22" s="99" t="n">
        <x:v>46251</x:v>
      </x:c>
      <x:c r="P22" s="99"/>
      <x:c r="Q22" s="99" t="str">
        <x:f>IF(P22="","",MAX(O22,P22+30))</x:f>
      </x:c>
      <x:c r="R22" s="99" t="str">
        <x:f>IF(P22="","TBD",IF(O22&gt;=P22+30,"PASS","FAIL"))</x:f>
        <x:v>TBD</x:v>
      </x:c>
      <x:c r="S22" s="99" t="n">
        <x:v>46387</x:v>
      </x:c>
      <x:c r="T22" s="51" t="str">
        <x:v>Not Accepted</x:v>
      </x:c>
      <x:c r="U22" s="93" t="str">
        <x:v>IDMA-BH-PS-2026-01 v3.5</x:v>
      </x:c>
      <x:c r="V22" s="93" t="n">
        <x:v>2</x:v>
      </x:c>
      <x:c r="W22" s="93" t="str">
        <x:v>TBD: notice email and addendum acceptance</x:v>
      </x:c>
    </x:row>
    <x:row r="23">
      <x:c r="A23" s="51" t="str">
        <x:v>Hold</x:v>
      </x:c>
      <x:c r="B23" s="51" t="str">
        <x:v>BND-OPS-120</x:v>
      </x:c>
      <x:c r="C23" s="51" t="str">
        <x:v>USD</x:v>
      </x:c>
      <x:c r="D23" s="95" t="n">
        <x:v>1379</x:v>
      </x:c>
      <x:c r="E23" s="95" t="n">
        <x:v>969</x:v>
      </x:c>
      <x:c r="F23" s="95" t="str">
        <x:v>Confirmed</x:v>
      </x:c>
      <x:c r="G23" s="95" t="n">
        <x:v>1624</x:v>
      </x:c>
      <x:c r="H23" s="95" t="n">
        <x:f>IF(G23="","",SUMIF('03_Bundle_BOM'!$A$6:$A$30,B23,'03_Bundle_BOM'!$H$6:$H$30))</x:f>
        <x:v>1624</x:v>
      </x:c>
      <x:c r="I23" s="95" t="str">
        <x:f>IF(G23="","N/A",IF(ABS(G23-H23)&lt;0.01,"PASS","FAIL"))</x:f>
        <x:v>PASS</x:v>
      </x:c>
      <x:c r="J23" s="95" t="n">
        <x:v>1379</x:v>
      </x:c>
      <x:c r="K23" s="51" t="str">
        <x:v>Not Accepted</x:v>
      </x:c>
      <x:c r="L23" s="97" t="n">
        <x:f>IFERROR((D23-E23)/D23,"")</x:f>
        <x:v>0.29731689630166785</x:v>
      </x:c>
      <x:c r="M23" s="97" t="n">
        <x:f>IFERROR((G23-D23)/G23,"")</x:f>
        <x:v>0.15086206896551724</x:v>
      </x:c>
      <x:c r="N23" s="99" t="n">
        <x:v>46219</x:v>
      </x:c>
      <x:c r="O23" s="99" t="n">
        <x:v>46251</x:v>
      </x:c>
      <x:c r="P23" s="99"/>
      <x:c r="Q23" s="99" t="str">
        <x:f>IF(P23="","",MAX(O23,P23+30))</x:f>
      </x:c>
      <x:c r="R23" s="99" t="str">
        <x:f>IF(P23="","TBD",IF(O23&gt;=P23+30,"PASS","FAIL"))</x:f>
        <x:v>TBD</x:v>
      </x:c>
      <x:c r="S23" s="99" t="n">
        <x:v>46387</x:v>
      </x:c>
      <x:c r="T23" s="51" t="str">
        <x:v>Not Accepted</x:v>
      </x:c>
      <x:c r="U23" s="93" t="str">
        <x:v>IDMA-BH-PS-2026-01 v3.5</x:v>
      </x:c>
      <x:c r="V23" s="93" t="n">
        <x:v>2</x:v>
      </x:c>
      <x:c r="W23" s="93" t="str">
        <x:v>TBD: notice email and addendum acceptance</x:v>
      </x:c>
    </x:row>
    <x:row r="24">
      <x:c r="A24" s="51" t="str">
        <x:v>Hold</x:v>
      </x:c>
      <x:c r="B24" s="51" t="str">
        <x:v>BND-MTG-100</x:v>
      </x:c>
      <x:c r="C24" s="51" t="str">
        <x:v>USD</x:v>
      </x:c>
      <x:c r="D24" s="95" t="n">
        <x:v>889</x:v>
      </x:c>
      <x:c r="E24" s="95" t="n">
        <x:v>619</x:v>
      </x:c>
      <x:c r="F24" s="95" t="str">
        <x:v>Confirmed</x:v>
      </x:c>
      <x:c r="G24" s="95" t="n">
        <x:v>1047</x:v>
      </x:c>
      <x:c r="H24" s="95" t="n">
        <x:f>IF(G24="","",SUMIF('03_Bundle_BOM'!$A$6:$A$30,B24,'03_Bundle_BOM'!$H$6:$H$30))</x:f>
        <x:v>1047</x:v>
      </x:c>
      <x:c r="I24" s="95" t="str">
        <x:f>IF(G24="","N/A",IF(ABS(G24-H24)&lt;0.01,"PASS","FAIL"))</x:f>
        <x:v>PASS</x:v>
      </x:c>
      <x:c r="J24" s="95" t="n">
        <x:v>889</x:v>
      </x:c>
      <x:c r="K24" s="51" t="str">
        <x:v>Not Accepted</x:v>
      </x:c>
      <x:c r="L24" s="97" t="n">
        <x:f>IFERROR((D24-E24)/D24,"")</x:f>
        <x:v>0.30371203599550056</x:v>
      </x:c>
      <x:c r="M24" s="97" t="n">
        <x:f>IFERROR((G24-D24)/G24,"")</x:f>
        <x:v>0.15090735434574976</x:v>
      </x:c>
      <x:c r="N24" s="99" t="n">
        <x:v>46219</x:v>
      </x:c>
      <x:c r="O24" s="99" t="n">
        <x:v>46251</x:v>
      </x:c>
      <x:c r="P24" s="99"/>
      <x:c r="Q24" s="99" t="str">
        <x:f>IF(P24="","",MAX(O24,P24+30))</x:f>
      </x:c>
      <x:c r="R24" s="99" t="str">
        <x:f>IF(P24="","TBD",IF(O24&gt;=P24+30,"PASS","FAIL"))</x:f>
        <x:v>TBD</x:v>
      </x:c>
      <x:c r="S24" s="99" t="n">
        <x:v>46387</x:v>
      </x:c>
      <x:c r="T24" s="51" t="str">
        <x:v>Not Accepted</x:v>
      </x:c>
      <x:c r="U24" s="93" t="str">
        <x:v>IDMA-BH-PS-2026-01 v3.5</x:v>
      </x:c>
      <x:c r="V24" s="93" t="n">
        <x:v>2</x:v>
      </x:c>
      <x:c r="W24" s="93" t="str">
        <x:v>TBD: notice email and addendum acceptance</x:v>
      </x:c>
    </x:row>
    <x:row r="25">
      <x:c r="A25" s="51" t="str">
        <x:v>Hold</x:v>
      </x:c>
      <x:c r="B25" s="51" t="str">
        <x:v>BND-MTG-110</x:v>
      </x:c>
      <x:c r="C25" s="51" t="str">
        <x:v>USD</x:v>
      </x:c>
      <x:c r="D25" s="95" t="n">
        <x:v>749</x:v>
      </x:c>
      <x:c r="E25" s="95" t="n">
        <x:v>529</x:v>
      </x:c>
      <x:c r="F25" s="95" t="str">
        <x:v>Confirmed</x:v>
      </x:c>
      <x:c r="G25" s="95" t="n">
        <x:v>887</x:v>
      </x:c>
      <x:c r="H25" s="95" t="n">
        <x:f>IF(G25="","",SUMIF('03_Bundle_BOM'!$A$6:$A$30,B25,'03_Bundle_BOM'!$H$6:$H$30))</x:f>
        <x:v>887</x:v>
      </x:c>
      <x:c r="I25" s="95" t="str">
        <x:f>IF(G25="","N/A",IF(ABS(G25-H25)&lt;0.01,"PASS","FAIL"))</x:f>
        <x:v>PASS</x:v>
      </x:c>
      <x:c r="J25" s="95" t="n">
        <x:v>749</x:v>
      </x:c>
      <x:c r="K25" s="51" t="str">
        <x:v>Not Accepted</x:v>
      </x:c>
      <x:c r="L25" s="97" t="n">
        <x:f>IFERROR((D25-E25)/D25,"")</x:f>
        <x:v>0.2937249666221629</x:v>
      </x:c>
      <x:c r="M25" s="97" t="n">
        <x:f>IFERROR((G25-D25)/G25,"")</x:f>
        <x:v>0.1555806087936866</x:v>
      </x:c>
      <x:c r="N25" s="99" t="n">
        <x:v>46219</x:v>
      </x:c>
      <x:c r="O25" s="99" t="n">
        <x:v>46251</x:v>
      </x:c>
      <x:c r="P25" s="99"/>
      <x:c r="Q25" s="99" t="str">
        <x:f>IF(P25="","",MAX(O25,P25+30))</x:f>
      </x:c>
      <x:c r="R25" s="99" t="str">
        <x:f>IF(P25="","TBD",IF(O25&gt;=P25+30,"PASS","FAIL"))</x:f>
        <x:v>TBD</x:v>
      </x:c>
      <x:c r="S25" s="99" t="n">
        <x:v>46387</x:v>
      </x:c>
      <x:c r="T25" s="51" t="str">
        <x:v>Not Accepted</x:v>
      </x:c>
      <x:c r="U25" s="93" t="str">
        <x:v>IDMA-BH-PS-2026-01 v3.5</x:v>
      </x:c>
      <x:c r="V25" s="93" t="n">
        <x:v>2</x:v>
      </x:c>
      <x:c r="W25" s="93" t="str">
        <x:v>TBD: notice email and addendum acceptance</x:v>
      </x:c>
    </x:row>
    <x:row r="26">
      <x:c r="A26" s="51" t="str">
        <x:v>Hold</x:v>
      </x:c>
      <x:c r="B26" s="51" t="str">
        <x:v>BND-MTG-120</x:v>
      </x:c>
      <x:c r="C26" s="51" t="str">
        <x:v>USD</x:v>
      </x:c>
      <x:c r="D26" s="95" t="n">
        <x:v>639</x:v>
      </x:c>
      <x:c r="E26" s="95" t="n">
        <x:v>449</x:v>
      </x:c>
      <x:c r="F26" s="95" t="str">
        <x:v>Confirmed</x:v>
      </x:c>
      <x:c r="G26" s="95" t="n">
        <x:v>747</x:v>
      </x:c>
      <x:c r="H26" s="95" t="n">
        <x:f>IF(G26="","",SUMIF('03_Bundle_BOM'!$A$6:$A$30,B26,'03_Bundle_BOM'!$H$6:$H$30))</x:f>
        <x:v>747</x:v>
      </x:c>
      <x:c r="I26" s="95" t="str">
        <x:f>IF(G26="","N/A",IF(ABS(G26-H26)&lt;0.01,"PASS","FAIL"))</x:f>
        <x:v>PASS</x:v>
      </x:c>
      <x:c r="J26" s="95" t="n">
        <x:v>639</x:v>
      </x:c>
      <x:c r="K26" s="51" t="str">
        <x:v>Not Accepted</x:v>
      </x:c>
      <x:c r="L26" s="97" t="n">
        <x:f>IFERROR((D26-E26)/D26,"")</x:f>
        <x:v>0.297339593114241</x:v>
      </x:c>
      <x:c r="M26" s="97" t="n">
        <x:f>IFERROR((G26-D26)/G26,"")</x:f>
        <x:v>0.14457831325301204</x:v>
      </x:c>
      <x:c r="N26" s="99" t="n">
        <x:v>46219</x:v>
      </x:c>
      <x:c r="O26" s="99" t="n">
        <x:v>46251</x:v>
      </x:c>
      <x:c r="P26" s="99"/>
      <x:c r="Q26" s="99" t="str">
        <x:f>IF(P26="","",MAX(O26,P26+30))</x:f>
      </x:c>
      <x:c r="R26" s="99" t="str">
        <x:f>IF(P26="","TBD",IF(O26&gt;=P26+30,"PASS","FAIL"))</x:f>
        <x:v>TBD</x:v>
      </x:c>
      <x:c r="S26" s="99" t="n">
        <x:v>46387</x:v>
      </x:c>
      <x:c r="T26" s="51" t="str">
        <x:v>Not Accepted</x:v>
      </x:c>
      <x:c r="U26" s="93" t="str">
        <x:v>IDMA-BH-PS-2026-01 v3.5</x:v>
      </x:c>
      <x:c r="V26" s="93" t="n">
        <x:v>2</x:v>
      </x:c>
      <x:c r="W26" s="93" t="str">
        <x:v>TBD: notice email and addendum acceptance</x:v>
      </x:c>
    </x:row>
  </x:sheetData>
  <x:mergeCells>
    <x:mergeCell ref="A1:W1"/>
    <x:mergeCell ref="A2:W2"/>
  </x:mergeCells>
  <x:conditionalFormatting sqref="A6:A26">
    <x:cfRule type="containsText" dxfId="73" priority="1" operator="containsText" text="TBD"/>
    <x:cfRule type="containsText" dxfId="74" priority="2" operator="containsText" text="REVIEW"/>
    <x:cfRule type="containsText" dxfId="75" priority="3" operator="containsText" text="Hold"/>
    <x:cfRule type="containsText" dxfId="76" priority="4" operator="containsText" text="HOLD"/>
    <x:cfRule type="containsText" dxfId="77" priority="5" operator="containsText" text="FAIL"/>
    <x:cfRule type="containsText" dxfId="78" priority="6" operator="containsText" text="Not Accepted"/>
    <x:cfRule type="containsText" dxfId="79" priority="7" operator="containsText" text="N/A"/>
    <x:cfRule type="containsText" dxfId="80" priority="8" operator="containsText" text="Superseded"/>
    <x:cfRule type="containsText" dxfId="81" priority="9" operator="containsText" text="PASS"/>
    <x:cfRule type="containsText" dxfId="82" priority="10" operator="containsText" text="READY"/>
    <x:cfRule type="containsText" dxfId="83" priority="11" operator="containsText" text="Accepted"/>
    <x:cfRule type="containsText" dxfId="84" priority="12" operator="containsText" text="Confirmed"/>
  </x:conditionalFormatting>
  <x:conditionalFormatting sqref="F6:F26">
    <x:cfRule type="containsText" dxfId="85" priority="13" operator="containsText" text="TBD"/>
    <x:cfRule type="containsText" dxfId="86" priority="14" operator="containsText" text="REVIEW"/>
    <x:cfRule type="containsText" dxfId="87" priority="15" operator="containsText" text="Hold"/>
    <x:cfRule type="containsText" dxfId="88" priority="16" operator="containsText" text="HOLD"/>
    <x:cfRule type="containsText" dxfId="89" priority="17" operator="containsText" text="FAIL"/>
    <x:cfRule type="containsText" dxfId="90" priority="18" operator="containsText" text="Not Accepted"/>
    <x:cfRule type="containsText" dxfId="91" priority="19" operator="containsText" text="N/A"/>
    <x:cfRule type="containsText" dxfId="92" priority="20" operator="containsText" text="Superseded"/>
    <x:cfRule type="containsText" dxfId="93" priority="21" operator="containsText" text="PASS"/>
    <x:cfRule type="containsText" dxfId="94" priority="22" operator="containsText" text="READY"/>
    <x:cfRule type="containsText" dxfId="95" priority="23" operator="containsText" text="Accepted"/>
    <x:cfRule type="containsText" dxfId="96" priority="24" operator="containsText" text="Confirmed"/>
  </x:conditionalFormatting>
  <x:conditionalFormatting sqref="I6:I26">
    <x:cfRule type="containsText" dxfId="97" priority="25" operator="containsText" text="TBD"/>
    <x:cfRule type="containsText" dxfId="98" priority="26" operator="containsText" text="REVIEW"/>
    <x:cfRule type="containsText" dxfId="99" priority="27" operator="containsText" text="Hold"/>
    <x:cfRule type="containsText" dxfId="100" priority="28" operator="containsText" text="HOLD"/>
    <x:cfRule type="containsText" dxfId="101" priority="29" operator="containsText" text="FAIL"/>
    <x:cfRule type="containsText" dxfId="102" priority="30" operator="containsText" text="Not Accepted"/>
    <x:cfRule type="containsText" dxfId="103" priority="31" operator="containsText" text="N/A"/>
    <x:cfRule type="containsText" dxfId="104" priority="32" operator="containsText" text="Superseded"/>
    <x:cfRule type="containsText" dxfId="105" priority="33" operator="containsText" text="PASS"/>
    <x:cfRule type="containsText" dxfId="106" priority="34" operator="containsText" text="READY"/>
    <x:cfRule type="containsText" dxfId="107" priority="35" operator="containsText" text="Accepted"/>
    <x:cfRule type="containsText" dxfId="108" priority="36" operator="containsText" text="Confirmed"/>
  </x:conditionalFormatting>
  <x:conditionalFormatting sqref="K6:K26">
    <x:cfRule type="containsText" dxfId="109" priority="37" operator="containsText" text="TBD"/>
    <x:cfRule type="containsText" dxfId="110" priority="38" operator="containsText" text="REVIEW"/>
    <x:cfRule type="containsText" dxfId="111" priority="39" operator="containsText" text="Hold"/>
    <x:cfRule type="containsText" dxfId="112" priority="40" operator="containsText" text="HOLD"/>
    <x:cfRule type="containsText" dxfId="113" priority="41" operator="containsText" text="FAIL"/>
    <x:cfRule type="containsText" dxfId="114" priority="42" operator="containsText" text="Not Accepted"/>
    <x:cfRule type="containsText" dxfId="115" priority="43" operator="containsText" text="N/A"/>
    <x:cfRule type="containsText" dxfId="116" priority="44" operator="containsText" text="Superseded"/>
    <x:cfRule type="containsText" dxfId="117" priority="45" operator="containsText" text="PASS"/>
    <x:cfRule type="containsText" dxfId="118" priority="46" operator="containsText" text="READY"/>
    <x:cfRule type="containsText" dxfId="119" priority="47" operator="containsText" text="Accepted"/>
    <x:cfRule type="containsText" dxfId="120" priority="48" operator="containsText" text="Confirmed"/>
  </x:conditionalFormatting>
  <x:conditionalFormatting sqref="R6:R26">
    <x:cfRule type="containsText" dxfId="121" priority="49" operator="containsText" text="TBD"/>
    <x:cfRule type="containsText" dxfId="122" priority="50" operator="containsText" text="REVIEW"/>
    <x:cfRule type="containsText" dxfId="123" priority="51" operator="containsText" text="Hold"/>
    <x:cfRule type="containsText" dxfId="124" priority="52" operator="containsText" text="HOLD"/>
    <x:cfRule type="containsText" dxfId="125" priority="53" operator="containsText" text="FAIL"/>
    <x:cfRule type="containsText" dxfId="126" priority="54" operator="containsText" text="Not Accepted"/>
    <x:cfRule type="containsText" dxfId="127" priority="55" operator="containsText" text="N/A"/>
    <x:cfRule type="containsText" dxfId="128" priority="56" operator="containsText" text="Superseded"/>
    <x:cfRule type="containsText" dxfId="129" priority="57" operator="containsText" text="PASS"/>
    <x:cfRule type="containsText" dxfId="130" priority="58" operator="containsText" text="READY"/>
    <x:cfRule type="containsText" dxfId="131" priority="59" operator="containsText" text="Accepted"/>
    <x:cfRule type="containsText" dxfId="132" priority="60" operator="containsText" text="Confirmed"/>
  </x:conditionalFormatting>
  <x:conditionalFormatting sqref="T6:T26">
    <x:cfRule type="containsText" dxfId="133" priority="61" operator="containsText" text="TBD"/>
    <x:cfRule type="containsText" dxfId="134" priority="62" operator="containsText" text="REVIEW"/>
    <x:cfRule type="containsText" dxfId="135" priority="63" operator="containsText" text="Hold"/>
    <x:cfRule type="containsText" dxfId="136" priority="64" operator="containsText" text="HOLD"/>
    <x:cfRule type="containsText" dxfId="137" priority="65" operator="containsText" text="FAIL"/>
    <x:cfRule type="containsText" dxfId="138" priority="66" operator="containsText" text="Not Accepted"/>
    <x:cfRule type="containsText" dxfId="139" priority="67" operator="containsText" text="N/A"/>
    <x:cfRule type="containsText" dxfId="140" priority="68" operator="containsText" text="Superseded"/>
    <x:cfRule type="containsText" dxfId="141" priority="69" operator="containsText" text="PASS"/>
    <x:cfRule type="containsText" dxfId="142" priority="70" operator="containsText" text="READY"/>
    <x:cfRule type="containsText" dxfId="143" priority="71" operator="containsText" text="Accepted"/>
    <x:cfRule type="containsText" dxfId="144" priority="72" operator="containsText" text="Confirmed"/>
  </x:conditionalFormatting>
  <x:conditionalFormatting sqref="W6:W26">
    <x:cfRule type="containsText" dxfId="145" priority="73" operator="containsText" text="TBD"/>
    <x:cfRule type="containsText" dxfId="146" priority="74" operator="containsText" text="REVIEW"/>
    <x:cfRule type="containsText" dxfId="147" priority="75" operator="containsText" text="Hold"/>
    <x:cfRule type="containsText" dxfId="148" priority="76" operator="containsText" text="HOLD"/>
    <x:cfRule type="containsText" dxfId="149" priority="77" operator="containsText" text="FAIL"/>
    <x:cfRule type="containsText" dxfId="150" priority="78" operator="containsText" text="Not Accepted"/>
    <x:cfRule type="containsText" dxfId="151" priority="79" operator="containsText" text="N/A"/>
    <x:cfRule type="containsText" dxfId="152" priority="80" operator="containsText" text="Superseded"/>
    <x:cfRule type="containsText" dxfId="153" priority="81" operator="containsText" text="PASS"/>
    <x:cfRule type="containsText" dxfId="154" priority="82" operator="containsText" text="READY"/>
    <x:cfRule type="containsText" dxfId="155" priority="83" operator="containsText" text="Accepted"/>
    <x:cfRule type="containsText" dxfId="156" priority="84" operator="containsText" text="Confirmed"/>
  </x:conditionalFormatting>
  <x:dataValidations count="5">
    <x:dataValidation type="list" sqref="A6:A26">
      <x:formula1>"Confirmed,TBD,Hold"</x:formula1>
    </x:dataValidation>
    <x:dataValidation type="list" sqref="F6:F26">
      <x:formula1>"Confirmed,TBD,N/A"</x:formula1>
    </x:dataValidation>
    <x:dataValidation type="list" sqref="K6:K26">
      <x:formula1>"Accepted,Not Accepted,N/A"</x:formula1>
    </x:dataValidation>
    <x:dataValidation type="list" sqref="T6:T26">
      <x:formula1>"Accepted,Not Accepted,Expired,N/A"</x:formula1>
    </x:dataValidation>
    <x:dataValidation type="decimal" operator="greaterThanOrEqual" sqref="D6:J2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7dd899e40f43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5" hidden="0" customWidth="1"/>
    <x:col min="5" max="5" width="4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20" hidden="0" customWidth="1"/>
    <x:col min="12" max="12" width="12" hidden="0" customWidth="1"/>
    <x:col min="13" max="13" width="18" hidden="0" customWidth="1"/>
  </x:cols>
  <x:sheetData>
    <x:row r="1" ht="30" customHeight="1">
      <x:c r="A1" s="3" t="str">
        <x:v>03 - Bundle BOM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25 source-backed component lines. Entitlement quantity and packaging model remain TBD.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2" customHeight="1">
      <x:c r="A5" s="46" t="str">
        <x:v>Bundle_SKU</x:v>
      </x:c>
      <x:c r="B5" s="46" t="str">
        <x:v>Line_No</x:v>
      </x:c>
      <x:c r="C5" s="46" t="str">
        <x:v>Component_SKU</x:v>
      </x:c>
      <x:c r="D5" s="46" t="str">
        <x:v>Component_Qty</x:v>
      </x:c>
      <x:c r="E5" s="46" t="str">
        <x:v>Component_Name</x:v>
      </x:c>
      <x:c r="F5" s="46" t="str">
        <x:v>Component_MSRP</x:v>
      </x:c>
      <x:c r="G5" s="46" t="str">
        <x:v>Component_Cost</x:v>
      </x:c>
      <x:c r="H5" s="46" t="str">
        <x:v>Extended_MSRP</x:v>
      </x:c>
      <x:c r="I5" s="46" t="str">
        <x:v>Extended_Cost</x:v>
      </x:c>
      <x:c r="J5" s="46" t="str">
        <x:v>License_Entitlement_Qty</x:v>
      </x:c>
      <x:c r="K5" s="46" t="str">
        <x:v>Packaging_Model</x:v>
      </x:c>
      <x:c r="L5" s="46" t="str">
        <x:v>Source_Page</x:v>
      </x:c>
      <x:c r="M5" s="46" t="str">
        <x:v>BOM_Line_Status</x:v>
      </x:c>
    </x:row>
    <x:row r="6">
      <x:c r="A6" s="50" t="str">
        <x:v>BND-GW-100</x:v>
      </x:c>
      <x:c r="B6" s="90" t="n">
        <x:v>1</x:v>
      </x:c>
      <x:c r="C6" s="90" t="str">
        <x:v>PP-100</x:v>
      </x:c>
      <x:c r="D6" s="90" t="n">
        <x:v>1</x:v>
      </x:c>
      <x:c r="E6" s="92" t="str">
        <x:f>IFERROR(INDEX('01_Item_Master'!$G$6:$G$26,MATCH(C6,'01_Item_Master'!$B$6:$B$26,0)),"")</x:f>
        <x:v>Paper-Pen Digital Meeting Assistant (Vertical / Leather)</x:v>
      </x:c>
      <x:c r="F6" s="94" t="n">
        <x:f>IFERROR(INDEX('02_Pricing'!$D$6:$D$26,MATCH(C6,'02_Pricing'!$B$6:$B$26,0)),"")</x:f>
        <x:v>399</x:v>
      </x:c>
      <x:c r="G6" s="94" t="n">
        <x:f>IFERROR(INDEX('02_Pricing'!$E$6:$E$26,MATCH(C6,'02_Pricing'!$B$6:$B$26,0)),"")</x:f>
        <x:v>279</x:v>
      </x:c>
      <x:c r="H6" s="94" t="n">
        <x:f>D6*F6</x:f>
        <x:v>399</x:v>
      </x:c>
      <x:c r="I6" s="94" t="n">
        <x:f>IF(G6="","",D6*G6)</x:f>
        <x:v>279</x:v>
      </x:c>
      <x:c r="J6" s="50" t="str">
        <x:v>N/A</x:v>
      </x:c>
      <x:c r="K6" s="50" t="str">
        <x:v>TBD</x:v>
      </x:c>
      <x:c r="L6" s="50" t="n">
        <x:v>2</x:v>
      </x:c>
      <x:c r="M6" s="50" t="str">
        <x:v>TBD</x:v>
      </x:c>
    </x:row>
    <x:row r="7">
      <x:c r="A7" s="51" t="str">
        <x:v>BND-GW-100</x:v>
      </x:c>
      <x:c r="B7" s="91" t="n">
        <x:v>2</x:v>
      </x:c>
      <x:c r="C7" s="91" t="str">
        <x:v>GW-210</x:v>
      </x:c>
      <x:c r="D7" s="91" t="n">
        <x:v>1</x:v>
      </x:c>
      <x:c r="E7" s="93" t="str">
        <x:f>IFERROR(INDEX('01_Item_Master'!$G$6:$G$26,MATCH(C7,'01_Item_Master'!$B$6:$B$26,0)),"")</x:f>
        <x:v>Screencasting Gateway</x:v>
      </x:c>
      <x:c r="F7" s="95" t="n">
        <x:f>IFERROR(INDEX('02_Pricing'!$D$6:$D$26,MATCH(C7,'02_Pricing'!$B$6:$B$26,0)),"")</x:f>
        <x:v>399</x:v>
      </x:c>
      <x:c r="G7" s="95" t="n">
        <x:f>IFERROR(INDEX('02_Pricing'!$E$6:$E$26,MATCH(C7,'02_Pricing'!$B$6:$B$26,0)),"")</x:f>
        <x:v>279</x:v>
      </x:c>
      <x:c r="H7" s="95" t="n">
        <x:f>D7*F7</x:f>
        <x:v>399</x:v>
      </x:c>
      <x:c r="I7" s="95" t="n">
        <x:f>IF(G7="","",D7*G7)</x:f>
        <x:v>279</x:v>
      </x:c>
      <x:c r="J7" s="51" t="str">
        <x:v>N/A</x:v>
      </x:c>
      <x:c r="K7" s="51" t="str">
        <x:v>TBD</x:v>
      </x:c>
      <x:c r="L7" s="51" t="n">
        <x:v>2</x:v>
      </x:c>
      <x:c r="M7" s="51" t="str">
        <x:v>TBD</x:v>
      </x:c>
    </x:row>
    <x:row r="8">
      <x:c r="A8" s="51" t="str">
        <x:v>BND-GW-100</x:v>
      </x:c>
      <x:c r="B8" s="91" t="n">
        <x:v>3</x:v>
      </x:c>
      <x:c r="C8" s="91" t="str">
        <x:v>SW-CE</x:v>
      </x:c>
      <x:c r="D8" s="91" t="n">
        <x:v>1</x:v>
      </x:c>
      <x:c r="E8" s="93" t="str">
        <x:f>IFERROR(INDEX('01_Item_Master'!$G$6:$G$26,MATCH(C8,'01_Item_Master'!$B$6:$B$26,0)),"")</x:f>
        <x:v>iDma Commercial Edition</x:v>
      </x:c>
      <x:c r="F8" s="95" t="n">
        <x:f>IFERROR(INDEX('02_Pricing'!$D$6:$D$26,MATCH(C8,'02_Pricing'!$B$6:$B$26,0)),"")</x:f>
        <x:v>249</x:v>
      </x:c>
      <x:c r="G8" s="95" t="n">
        <x:f>IFERROR(INDEX('02_Pricing'!$E$6:$E$26,MATCH(C8,'02_Pricing'!$B$6:$B$26,0)),"")</x:f>
        <x:v>179</x:v>
      </x:c>
      <x:c r="H8" s="95" t="n">
        <x:f>D8*F8</x:f>
        <x:v>249</x:v>
      </x:c>
      <x:c r="I8" s="95" t="n">
        <x:f>IF(G8="","",D8*G8)</x:f>
        <x:v>179</x:v>
      </x:c>
      <x:c r="J8" s="51" t="str">
        <x:v>TBD</x:v>
      </x:c>
      <x:c r="K8" s="51" t="str">
        <x:v>TBD</x:v>
      </x:c>
      <x:c r="L8" s="51" t="n">
        <x:v>2</x:v>
      </x:c>
      <x:c r="M8" s="51" t="str">
        <x:v>TBD</x:v>
      </x:c>
    </x:row>
    <x:row r="9">
      <x:c r="A9" s="51" t="str">
        <x:v>BND-GW-110</x:v>
      </x:c>
      <x:c r="B9" s="91" t="n">
        <x:v>1</x:v>
      </x:c>
      <x:c r="C9" s="91" t="str">
        <x:v>PP-110</x:v>
      </x:c>
      <x:c r="D9" s="91" t="n">
        <x:v>1</x:v>
      </x:c>
      <x:c r="E9" s="93" t="str">
        <x:f>IFERROR(INDEX('01_Item_Master'!$G$6:$G$26,MATCH(C9,'01_Item_Master'!$B$6:$B$26,0)),"")</x:f>
        <x:v>Paper-Pen Digital Meeting Assistant (Horizontal A4 / Leather)</x:v>
      </x:c>
      <x:c r="F9" s="95" t="n">
        <x:f>IFERROR(INDEX('02_Pricing'!$D$6:$D$26,MATCH(C9,'02_Pricing'!$B$6:$B$26,0)),"")</x:f>
        <x:v>319</x:v>
      </x:c>
      <x:c r="G9" s="95" t="n">
        <x:f>IFERROR(INDEX('02_Pricing'!$E$6:$E$26,MATCH(C9,'02_Pricing'!$B$6:$B$26,0)),"")</x:f>
        <x:v>219</x:v>
      </x:c>
      <x:c r="H9" s="95" t="n">
        <x:f>D9*F9</x:f>
        <x:v>319</x:v>
      </x:c>
      <x:c r="I9" s="95" t="n">
        <x:f>IF(G9="","",D9*G9)</x:f>
        <x:v>219</x:v>
      </x:c>
      <x:c r="J9" s="51" t="str">
        <x:v>N/A</x:v>
      </x:c>
      <x:c r="K9" s="51" t="str">
        <x:v>TBD</x:v>
      </x:c>
      <x:c r="L9" s="51" t="n">
        <x:v>2</x:v>
      </x:c>
      <x:c r="M9" s="51" t="str">
        <x:v>TBD</x:v>
      </x:c>
    </x:row>
    <x:row r="10">
      <x:c r="A10" s="51" t="str">
        <x:v>BND-GW-110</x:v>
      </x:c>
      <x:c r="B10" s="91" t="n">
        <x:v>2</x:v>
      </x:c>
      <x:c r="C10" s="91" t="str">
        <x:v>GW-210</x:v>
      </x:c>
      <x:c r="D10" s="91" t="n">
        <x:v>1</x:v>
      </x:c>
      <x:c r="E10" s="93" t="str">
        <x:f>IFERROR(INDEX('01_Item_Master'!$G$6:$G$26,MATCH(C10,'01_Item_Master'!$B$6:$B$26,0)),"")</x:f>
        <x:v>Screencasting Gateway</x:v>
      </x:c>
      <x:c r="F10" s="95" t="n">
        <x:f>IFERROR(INDEX('02_Pricing'!$D$6:$D$26,MATCH(C10,'02_Pricing'!$B$6:$B$26,0)),"")</x:f>
        <x:v>399</x:v>
      </x:c>
      <x:c r="G10" s="95" t="n">
        <x:f>IFERROR(INDEX('02_Pricing'!$E$6:$E$26,MATCH(C10,'02_Pricing'!$B$6:$B$26,0)),"")</x:f>
        <x:v>279</x:v>
      </x:c>
      <x:c r="H10" s="95" t="n">
        <x:f>D10*F10</x:f>
        <x:v>399</x:v>
      </x:c>
      <x:c r="I10" s="95" t="n">
        <x:f>IF(G10="","",D10*G10)</x:f>
        <x:v>279</x:v>
      </x:c>
      <x:c r="J10" s="51" t="str">
        <x:v>N/A</x:v>
      </x:c>
      <x:c r="K10" s="51" t="str">
        <x:v>TBD</x:v>
      </x:c>
      <x:c r="L10" s="51" t="n">
        <x:v>2</x:v>
      </x:c>
      <x:c r="M10" s="51" t="str">
        <x:v>TBD</x:v>
      </x:c>
    </x:row>
    <x:row r="11">
      <x:c r="A11" s="51" t="str">
        <x:v>BND-GW-110</x:v>
      </x:c>
      <x:c r="B11" s="91" t="n">
        <x:v>3</x:v>
      </x:c>
      <x:c r="C11" s="91" t="str">
        <x:v>SW-CE</x:v>
      </x:c>
      <x:c r="D11" s="91" t="n">
        <x:v>1</x:v>
      </x:c>
      <x:c r="E11" s="93" t="str">
        <x:f>IFERROR(INDEX('01_Item_Master'!$G$6:$G$26,MATCH(C11,'01_Item_Master'!$B$6:$B$26,0)),"")</x:f>
        <x:v>iDma Commercial Edition</x:v>
      </x:c>
      <x:c r="F11" s="95" t="n">
        <x:f>IFERROR(INDEX('02_Pricing'!$D$6:$D$26,MATCH(C11,'02_Pricing'!$B$6:$B$26,0)),"")</x:f>
        <x:v>249</x:v>
      </x:c>
      <x:c r="G11" s="95" t="n">
        <x:f>IFERROR(INDEX('02_Pricing'!$E$6:$E$26,MATCH(C11,'02_Pricing'!$B$6:$B$26,0)),"")</x:f>
        <x:v>179</x:v>
      </x:c>
      <x:c r="H11" s="95" t="n">
        <x:f>D11*F11</x:f>
        <x:v>249</x:v>
      </x:c>
      <x:c r="I11" s="95" t="n">
        <x:f>IF(G11="","",D11*G11)</x:f>
        <x:v>179</x:v>
      </x:c>
      <x:c r="J11" s="51" t="str">
        <x:v>TBD</x:v>
      </x:c>
      <x:c r="K11" s="51" t="str">
        <x:v>TBD</x:v>
      </x:c>
      <x:c r="L11" s="51" t="n">
        <x:v>2</x:v>
      </x:c>
      <x:c r="M11" s="51" t="str">
        <x:v>TBD</x:v>
      </x:c>
    </x:row>
    <x:row r="12">
      <x:c r="A12" s="51" t="str">
        <x:v>BND-GW-120</x:v>
      </x:c>
      <x:c r="B12" s="91" t="n">
        <x:v>1</x:v>
      </x:c>
      <x:c r="C12" s="91" t="str">
        <x:v>PP-120</x:v>
      </x:c>
      <x:c r="D12" s="91" t="n">
        <x:v>1</x:v>
      </x:c>
      <x:c r="E12" s="93" t="str">
        <x:f>IFERROR(INDEX('01_Item_Master'!$G$6:$G$26,MATCH(C12,'01_Item_Master'!$B$6:$B$26,0)),"")</x:f>
        <x:v>Paper-Pen Digital Meeting Assistant (Vertical / Polymer)</x:v>
      </x:c>
      <x:c r="F12" s="95" t="n">
        <x:f>IFERROR(INDEX('02_Pricing'!$D$6:$D$26,MATCH(C12,'02_Pricing'!$B$6:$B$26,0)),"")</x:f>
        <x:v>249</x:v>
      </x:c>
      <x:c r="G12" s="95" t="n">
        <x:f>IFERROR(INDEX('02_Pricing'!$E$6:$E$26,MATCH(C12,'02_Pricing'!$B$6:$B$26,0)),"")</x:f>
        <x:v>179</x:v>
      </x:c>
      <x:c r="H12" s="95" t="n">
        <x:f>D12*F12</x:f>
        <x:v>249</x:v>
      </x:c>
      <x:c r="I12" s="95" t="n">
        <x:f>IF(G12="","",D12*G12)</x:f>
        <x:v>179</x:v>
      </x:c>
      <x:c r="J12" s="51" t="str">
        <x:v>N/A</x:v>
      </x:c>
      <x:c r="K12" s="51" t="str">
        <x:v>TBD</x:v>
      </x:c>
      <x:c r="L12" s="51" t="n">
        <x:v>2</x:v>
      </x:c>
      <x:c r="M12" s="51" t="str">
        <x:v>TBD</x:v>
      </x:c>
    </x:row>
    <x:row r="13">
      <x:c r="A13" s="51" t="str">
        <x:v>BND-GW-120</x:v>
      </x:c>
      <x:c r="B13" s="91" t="n">
        <x:v>2</x:v>
      </x:c>
      <x:c r="C13" s="91" t="str">
        <x:v>GW-210</x:v>
      </x:c>
      <x:c r="D13" s="91" t="n">
        <x:v>1</x:v>
      </x:c>
      <x:c r="E13" s="93" t="str">
        <x:f>IFERROR(INDEX('01_Item_Master'!$G$6:$G$26,MATCH(C13,'01_Item_Master'!$B$6:$B$26,0)),"")</x:f>
        <x:v>Screencasting Gateway</x:v>
      </x:c>
      <x:c r="F13" s="95" t="n">
        <x:f>IFERROR(INDEX('02_Pricing'!$D$6:$D$26,MATCH(C13,'02_Pricing'!$B$6:$B$26,0)),"")</x:f>
        <x:v>399</x:v>
      </x:c>
      <x:c r="G13" s="95" t="n">
        <x:f>IFERROR(INDEX('02_Pricing'!$E$6:$E$26,MATCH(C13,'02_Pricing'!$B$6:$B$26,0)),"")</x:f>
        <x:v>279</x:v>
      </x:c>
      <x:c r="H13" s="95" t="n">
        <x:f>D13*F13</x:f>
        <x:v>399</x:v>
      </x:c>
      <x:c r="I13" s="95" t="n">
        <x:f>IF(G13="","",D13*G13)</x:f>
        <x:v>279</x:v>
      </x:c>
      <x:c r="J13" s="51" t="str">
        <x:v>N/A</x:v>
      </x:c>
      <x:c r="K13" s="51" t="str">
        <x:v>TBD</x:v>
      </x:c>
      <x:c r="L13" s="51" t="n">
        <x:v>2</x:v>
      </x:c>
      <x:c r="M13" s="51" t="str">
        <x:v>TBD</x:v>
      </x:c>
    </x:row>
    <x:row r="14">
      <x:c r="A14" s="51" t="str">
        <x:v>BND-GW-120</x:v>
      </x:c>
      <x:c r="B14" s="91" t="n">
        <x:v>3</x:v>
      </x:c>
      <x:c r="C14" s="91" t="str">
        <x:v>SW-CE</x:v>
      </x:c>
      <x:c r="D14" s="91" t="n">
        <x:v>1</x:v>
      </x:c>
      <x:c r="E14" s="93" t="str">
        <x:f>IFERROR(INDEX('01_Item_Master'!$G$6:$G$26,MATCH(C14,'01_Item_Master'!$B$6:$B$26,0)),"")</x:f>
        <x:v>iDma Commercial Edition</x:v>
      </x:c>
      <x:c r="F14" s="95" t="n">
        <x:f>IFERROR(INDEX('02_Pricing'!$D$6:$D$26,MATCH(C14,'02_Pricing'!$B$6:$B$26,0)),"")</x:f>
        <x:v>249</x:v>
      </x:c>
      <x:c r="G14" s="95" t="n">
        <x:f>IFERROR(INDEX('02_Pricing'!$E$6:$E$26,MATCH(C14,'02_Pricing'!$B$6:$B$26,0)),"")</x:f>
        <x:v>179</x:v>
      </x:c>
      <x:c r="H14" s="95" t="n">
        <x:f>D14*F14</x:f>
        <x:v>249</x:v>
      </x:c>
      <x:c r="I14" s="95" t="n">
        <x:f>IF(G14="","",D14*G14)</x:f>
        <x:v>179</x:v>
      </x:c>
      <x:c r="J14" s="51" t="str">
        <x:v>TBD</x:v>
      </x:c>
      <x:c r="K14" s="51" t="str">
        <x:v>TBD</x:v>
      </x:c>
      <x:c r="L14" s="51" t="n">
        <x:v>2</x:v>
      </x:c>
      <x:c r="M14" s="51" t="str">
        <x:v>TBD</x:v>
      </x:c>
    </x:row>
    <x:row r="15">
      <x:c r="A15" s="51" t="str">
        <x:v>BND-ZOOM-100</x:v>
      </x:c>
      <x:c r="B15" s="91" t="n">
        <x:v>1</x:v>
      </x:c>
      <x:c r="C15" s="91" t="str">
        <x:v>PP-100</x:v>
      </x:c>
      <x:c r="D15" s="91" t="n">
        <x:v>1</x:v>
      </x:c>
      <x:c r="E15" s="93" t="str">
        <x:f>IFERROR(INDEX('01_Item_Master'!$G$6:$G$26,MATCH(C15,'01_Item_Master'!$B$6:$B$26,0)),"")</x:f>
        <x:v>Paper-Pen Digital Meeting Assistant (Vertical / Leather)</x:v>
      </x:c>
      <x:c r="F15" s="95" t="n">
        <x:f>IFERROR(INDEX('02_Pricing'!$D$6:$D$26,MATCH(C15,'02_Pricing'!$B$6:$B$26,0)),"")</x:f>
        <x:v>399</x:v>
      </x:c>
      <x:c r="G15" s="95" t="n">
        <x:f>IFERROR(INDEX('02_Pricing'!$E$6:$E$26,MATCH(C15,'02_Pricing'!$B$6:$B$26,0)),"")</x:f>
        <x:v>279</x:v>
      </x:c>
      <x:c r="H15" s="95" t="n">
        <x:f>D15*F15</x:f>
        <x:v>399</x:v>
      </x:c>
      <x:c r="I15" s="95" t="n">
        <x:f>IF(G15="","",D15*G15)</x:f>
        <x:v>279</x:v>
      </x:c>
      <x:c r="J15" s="51" t="str">
        <x:v>N/A</x:v>
      </x:c>
      <x:c r="K15" s="51" t="str">
        <x:v>TBD</x:v>
      </x:c>
      <x:c r="L15" s="51" t="n">
        <x:v>2</x:v>
      </x:c>
      <x:c r="M15" s="51" t="str">
        <x:v>TBD</x:v>
      </x:c>
    </x:row>
    <x:row r="16">
      <x:c r="A16" s="51" t="str">
        <x:v>BND-ZOOM-100</x:v>
      </x:c>
      <x:c r="B16" s="91" t="n">
        <x:v>2</x:v>
      </x:c>
      <x:c r="C16" s="91" t="str">
        <x:v>SW-ZOOM</x:v>
      </x:c>
      <x:c r="D16" s="91" t="n">
        <x:v>1</x:v>
      </x:c>
      <x:c r="E16" s="93" t="str">
        <x:f>IFERROR(INDEX('01_Item_Master'!$G$6:$G$26,MATCH(C16,'01_Item_Master'!$B$6:$B$26,0)),"")</x:f>
        <x:v>iDma Collaboration (Zoom App Version)</x:v>
      </x:c>
      <x:c r="F16" s="95" t="n">
        <x:f>IFERROR(INDEX('02_Pricing'!$D$6:$D$26,MATCH(C16,'02_Pricing'!$B$6:$B$26,0)),"")</x:f>
        <x:v>129</x:v>
      </x:c>
      <x:c r="G16" s="95" t="n">
        <x:f>IFERROR(INDEX('02_Pricing'!$E$6:$E$26,MATCH(C16,'02_Pricing'!$B$6:$B$26,0)),"")</x:f>
        <x:v>89</x:v>
      </x:c>
      <x:c r="H16" s="95" t="n">
        <x:f>D16*F16</x:f>
        <x:v>129</x:v>
      </x:c>
      <x:c r="I16" s="95" t="n">
        <x:f>IF(G16="","",D16*G16)</x:f>
        <x:v>89</x:v>
      </x:c>
      <x:c r="J16" s="51" t="str">
        <x:v>TBD</x:v>
      </x:c>
      <x:c r="K16" s="51" t="str">
        <x:v>TBD</x:v>
      </x:c>
      <x:c r="L16" s="51" t="n">
        <x:v>2</x:v>
      </x:c>
      <x:c r="M16" s="51" t="str">
        <x:v>TBD</x:v>
      </x:c>
    </x:row>
    <x:row r="17">
      <x:c r="A17" s="51" t="str">
        <x:v>BND-ZOOM-110</x:v>
      </x:c>
      <x:c r="B17" s="91" t="n">
        <x:v>1</x:v>
      </x:c>
      <x:c r="C17" s="91" t="str">
        <x:v>PP-110</x:v>
      </x:c>
      <x:c r="D17" s="91" t="n">
        <x:v>1</x:v>
      </x:c>
      <x:c r="E17" s="93" t="str">
        <x:f>IFERROR(INDEX('01_Item_Master'!$G$6:$G$26,MATCH(C17,'01_Item_Master'!$B$6:$B$26,0)),"")</x:f>
        <x:v>Paper-Pen Digital Meeting Assistant (Horizontal A4 / Leather)</x:v>
      </x:c>
      <x:c r="F17" s="95" t="n">
        <x:f>IFERROR(INDEX('02_Pricing'!$D$6:$D$26,MATCH(C17,'02_Pricing'!$B$6:$B$26,0)),"")</x:f>
        <x:v>319</x:v>
      </x:c>
      <x:c r="G17" s="95" t="n">
        <x:f>IFERROR(INDEX('02_Pricing'!$E$6:$E$26,MATCH(C17,'02_Pricing'!$B$6:$B$26,0)),"")</x:f>
        <x:v>219</x:v>
      </x:c>
      <x:c r="H17" s="95" t="n">
        <x:f>D17*F17</x:f>
        <x:v>319</x:v>
      </x:c>
      <x:c r="I17" s="95" t="n">
        <x:f>IF(G17="","",D17*G17)</x:f>
        <x:v>219</x:v>
      </x:c>
      <x:c r="J17" s="51" t="str">
        <x:v>N/A</x:v>
      </x:c>
      <x:c r="K17" s="51" t="str">
        <x:v>TBD</x:v>
      </x:c>
      <x:c r="L17" s="51" t="n">
        <x:v>2</x:v>
      </x:c>
      <x:c r="M17" s="51" t="str">
        <x:v>TBD</x:v>
      </x:c>
    </x:row>
    <x:row r="18">
      <x:c r="A18" s="51" t="str">
        <x:v>BND-ZOOM-110</x:v>
      </x:c>
      <x:c r="B18" s="91" t="n">
        <x:v>2</x:v>
      </x:c>
      <x:c r="C18" s="91" t="str">
        <x:v>SW-ZOOM</x:v>
      </x:c>
      <x:c r="D18" s="91" t="n">
        <x:v>1</x:v>
      </x:c>
      <x:c r="E18" s="93" t="str">
        <x:f>IFERROR(INDEX('01_Item_Master'!$G$6:$G$26,MATCH(C18,'01_Item_Master'!$B$6:$B$26,0)),"")</x:f>
        <x:v>iDma Collaboration (Zoom App Version)</x:v>
      </x:c>
      <x:c r="F18" s="95" t="n">
        <x:f>IFERROR(INDEX('02_Pricing'!$D$6:$D$26,MATCH(C18,'02_Pricing'!$B$6:$B$26,0)),"")</x:f>
        <x:v>129</x:v>
      </x:c>
      <x:c r="G18" s="95" t="n">
        <x:f>IFERROR(INDEX('02_Pricing'!$E$6:$E$26,MATCH(C18,'02_Pricing'!$B$6:$B$26,0)),"")</x:f>
        <x:v>89</x:v>
      </x:c>
      <x:c r="H18" s="95" t="n">
        <x:f>D18*F18</x:f>
        <x:v>129</x:v>
      </x:c>
      <x:c r="I18" s="95" t="n">
        <x:f>IF(G18="","",D18*G18)</x:f>
        <x:v>89</x:v>
      </x:c>
      <x:c r="J18" s="51" t="str">
        <x:v>TBD</x:v>
      </x:c>
      <x:c r="K18" s="51" t="str">
        <x:v>TBD</x:v>
      </x:c>
      <x:c r="L18" s="51" t="n">
        <x:v>2</x:v>
      </x:c>
      <x:c r="M18" s="51" t="str">
        <x:v>TBD</x:v>
      </x:c>
    </x:row>
    <x:row r="19">
      <x:c r="A19" s="51" t="str">
        <x:v>BND-ZOOM-120</x:v>
      </x:c>
      <x:c r="B19" s="91" t="n">
        <x:v>1</x:v>
      </x:c>
      <x:c r="C19" s="91" t="str">
        <x:v>PP-120</x:v>
      </x:c>
      <x:c r="D19" s="91" t="n">
        <x:v>1</x:v>
      </x:c>
      <x:c r="E19" s="93" t="str">
        <x:f>IFERROR(INDEX('01_Item_Master'!$G$6:$G$26,MATCH(C19,'01_Item_Master'!$B$6:$B$26,0)),"")</x:f>
        <x:v>Paper-Pen Digital Meeting Assistant (Vertical / Polymer)</x:v>
      </x:c>
      <x:c r="F19" s="95" t="n">
        <x:f>IFERROR(INDEX('02_Pricing'!$D$6:$D$26,MATCH(C19,'02_Pricing'!$B$6:$B$26,0)),"")</x:f>
        <x:v>249</x:v>
      </x:c>
      <x:c r="G19" s="95" t="n">
        <x:f>IFERROR(INDEX('02_Pricing'!$E$6:$E$26,MATCH(C19,'02_Pricing'!$B$6:$B$26,0)),"")</x:f>
        <x:v>179</x:v>
      </x:c>
      <x:c r="H19" s="95" t="n">
        <x:f>D19*F19</x:f>
        <x:v>249</x:v>
      </x:c>
      <x:c r="I19" s="95" t="n">
        <x:f>IF(G19="","",D19*G19)</x:f>
        <x:v>179</x:v>
      </x:c>
      <x:c r="J19" s="51" t="str">
        <x:v>N/A</x:v>
      </x:c>
      <x:c r="K19" s="51" t="str">
        <x:v>TBD</x:v>
      </x:c>
      <x:c r="L19" s="51" t="n">
        <x:v>2</x:v>
      </x:c>
      <x:c r="M19" s="51" t="str">
        <x:v>TBD</x:v>
      </x:c>
    </x:row>
    <x:row r="20">
      <x:c r="A20" s="51" t="str">
        <x:v>BND-ZOOM-120</x:v>
      </x:c>
      <x:c r="B20" s="91" t="n">
        <x:v>2</x:v>
      </x:c>
      <x:c r="C20" s="91" t="str">
        <x:v>SW-ZOOM</x:v>
      </x:c>
      <x:c r="D20" s="91" t="n">
        <x:v>1</x:v>
      </x:c>
      <x:c r="E20" s="93" t="str">
        <x:f>IFERROR(INDEX('01_Item_Master'!$G$6:$G$26,MATCH(C20,'01_Item_Master'!$B$6:$B$26,0)),"")</x:f>
        <x:v>iDma Collaboration (Zoom App Version)</x:v>
      </x:c>
      <x:c r="F20" s="95" t="n">
        <x:f>IFERROR(INDEX('02_Pricing'!$D$6:$D$26,MATCH(C20,'02_Pricing'!$B$6:$B$26,0)),"")</x:f>
        <x:v>129</x:v>
      </x:c>
      <x:c r="G20" s="95" t="n">
        <x:f>IFERROR(INDEX('02_Pricing'!$E$6:$E$26,MATCH(C20,'02_Pricing'!$B$6:$B$26,0)),"")</x:f>
        <x:v>89</x:v>
      </x:c>
      <x:c r="H20" s="95" t="n">
        <x:f>D20*F20</x:f>
        <x:v>129</x:v>
      </x:c>
      <x:c r="I20" s="95" t="n">
        <x:f>IF(G20="","",D20*G20)</x:f>
        <x:v>89</x:v>
      </x:c>
      <x:c r="J20" s="51" t="str">
        <x:v>TBD</x:v>
      </x:c>
      <x:c r="K20" s="51" t="str">
        <x:v>TBD</x:v>
      </x:c>
      <x:c r="L20" s="51" t="n">
        <x:v>2</x:v>
      </x:c>
      <x:c r="M20" s="51" t="str">
        <x:v>TBD</x:v>
      </x:c>
    </x:row>
    <x:row r="21">
      <x:c r="A21" s="51" t="str">
        <x:v>BND-OPS-100</x:v>
      </x:c>
      <x:c r="B21" s="91" t="n">
        <x:v>1</x:v>
      </x:c>
      <x:c r="C21" s="91" t="str">
        <x:v>PP-100</x:v>
      </x:c>
      <x:c r="D21" s="91" t="n">
        <x:v>5</x:v>
      </x:c>
      <x:c r="E21" s="93" t="str">
        <x:f>IFERROR(INDEX('01_Item_Master'!$G$6:$G$26,MATCH(C21,'01_Item_Master'!$B$6:$B$26,0)),"")</x:f>
        <x:v>Paper-Pen Digital Meeting Assistant (Vertical / Leather)</x:v>
      </x:c>
      <x:c r="F21" s="95" t="n">
        <x:f>IFERROR(INDEX('02_Pricing'!$D$6:$D$26,MATCH(C21,'02_Pricing'!$B$6:$B$26,0)),"")</x:f>
        <x:v>399</x:v>
      </x:c>
      <x:c r="G21" s="95" t="n">
        <x:f>IFERROR(INDEX('02_Pricing'!$E$6:$E$26,MATCH(C21,'02_Pricing'!$B$6:$B$26,0)),"")</x:f>
        <x:v>279</x:v>
      </x:c>
      <x:c r="H21" s="95" t="n">
        <x:f>D21*F21</x:f>
        <x:v>1995</x:v>
      </x:c>
      <x:c r="I21" s="95" t="n">
        <x:f>IF(G21="","",D21*G21)</x:f>
        <x:v>1395</x:v>
      </x:c>
      <x:c r="J21" s="51" t="str">
        <x:v>N/A</x:v>
      </x:c>
      <x:c r="K21" s="51" t="str">
        <x:v>TBD</x:v>
      </x:c>
      <x:c r="L21" s="51" t="n">
        <x:v>2</x:v>
      </x:c>
      <x:c r="M21" s="51" t="str">
        <x:v>TBD</x:v>
      </x:c>
    </x:row>
    <x:row r="22">
      <x:c r="A22" s="51" t="str">
        <x:v>BND-OPS-100</x:v>
      </x:c>
      <x:c r="B22" s="91" t="n">
        <x:v>2</x:v>
      </x:c>
      <x:c r="C22" s="91" t="str">
        <x:v>SW-OPS</x:v>
      </x:c>
      <x:c r="D22" s="91" t="n">
        <x:v>1</x:v>
      </x:c>
      <x:c r="E22" s="93" t="str">
        <x:f>IFERROR(INDEX('01_Item_Master'!$G$6:$G$26,MATCH(C22,'01_Item_Master'!$B$6:$B$26,0)),"")</x:f>
        <x:v>iDma OPS (Classroom Teaching)</x:v>
      </x:c>
      <x:c r="F22" s="95" t="n">
        <x:f>IFERROR(INDEX('02_Pricing'!$D$6:$D$26,MATCH(C22,'02_Pricing'!$B$6:$B$26,0)),"")</x:f>
        <x:v>379</x:v>
      </x:c>
      <x:c r="G22" s="95" t="n">
        <x:f>IFERROR(INDEX('02_Pricing'!$E$6:$E$26,MATCH(C22,'02_Pricing'!$B$6:$B$26,0)),"")</x:f>
        <x:v>269</x:v>
      </x:c>
      <x:c r="H22" s="95" t="n">
        <x:f>D22*F22</x:f>
        <x:v>379</x:v>
      </x:c>
      <x:c r="I22" s="95" t="n">
        <x:f>IF(G22="","",D22*G22)</x:f>
        <x:v>269</x:v>
      </x:c>
      <x:c r="J22" s="51" t="str">
        <x:v>TBD</x:v>
      </x:c>
      <x:c r="K22" s="51" t="str">
        <x:v>TBD</x:v>
      </x:c>
      <x:c r="L22" s="51" t="n">
        <x:v>2</x:v>
      </x:c>
      <x:c r="M22" s="51" t="str">
        <x:v>TBD</x:v>
      </x:c>
    </x:row>
    <x:row r="23">
      <x:c r="A23" s="51" t="str">
        <x:v>BND-OPS-120</x:v>
      </x:c>
      <x:c r="B23" s="91" t="n">
        <x:v>1</x:v>
      </x:c>
      <x:c r="C23" s="91" t="str">
        <x:v>PP-120</x:v>
      </x:c>
      <x:c r="D23" s="91" t="n">
        <x:v>5</x:v>
      </x:c>
      <x:c r="E23" s="93" t="str">
        <x:f>IFERROR(INDEX('01_Item_Master'!$G$6:$G$26,MATCH(C23,'01_Item_Master'!$B$6:$B$26,0)),"")</x:f>
        <x:v>Paper-Pen Digital Meeting Assistant (Vertical / Polymer)</x:v>
      </x:c>
      <x:c r="F23" s="95" t="n">
        <x:f>IFERROR(INDEX('02_Pricing'!$D$6:$D$26,MATCH(C23,'02_Pricing'!$B$6:$B$26,0)),"")</x:f>
        <x:v>249</x:v>
      </x:c>
      <x:c r="G23" s="95" t="n">
        <x:f>IFERROR(INDEX('02_Pricing'!$E$6:$E$26,MATCH(C23,'02_Pricing'!$B$6:$B$26,0)),"")</x:f>
        <x:v>179</x:v>
      </x:c>
      <x:c r="H23" s="95" t="n">
        <x:f>D23*F23</x:f>
        <x:v>1245</x:v>
      </x:c>
      <x:c r="I23" s="95" t="n">
        <x:f>IF(G23="","",D23*G23)</x:f>
        <x:v>895</x:v>
      </x:c>
      <x:c r="J23" s="51" t="str">
        <x:v>N/A</x:v>
      </x:c>
      <x:c r="K23" s="51" t="str">
        <x:v>TBD</x:v>
      </x:c>
      <x:c r="L23" s="51" t="n">
        <x:v>2</x:v>
      </x:c>
      <x:c r="M23" s="51" t="str">
        <x:v>TBD</x:v>
      </x:c>
    </x:row>
    <x:row r="24">
      <x:c r="A24" s="51" t="str">
        <x:v>BND-OPS-120</x:v>
      </x:c>
      <x:c r="B24" s="91" t="n">
        <x:v>2</x:v>
      </x:c>
      <x:c r="C24" s="91" t="str">
        <x:v>SW-OPS</x:v>
      </x:c>
      <x:c r="D24" s="91" t="n">
        <x:v>1</x:v>
      </x:c>
      <x:c r="E24" s="93" t="str">
        <x:f>IFERROR(INDEX('01_Item_Master'!$G$6:$G$26,MATCH(C24,'01_Item_Master'!$B$6:$B$26,0)),"")</x:f>
        <x:v>iDma OPS (Classroom Teaching)</x:v>
      </x:c>
      <x:c r="F24" s="95" t="n">
        <x:f>IFERROR(INDEX('02_Pricing'!$D$6:$D$26,MATCH(C24,'02_Pricing'!$B$6:$B$26,0)),"")</x:f>
        <x:v>379</x:v>
      </x:c>
      <x:c r="G24" s="95" t="n">
        <x:f>IFERROR(INDEX('02_Pricing'!$E$6:$E$26,MATCH(C24,'02_Pricing'!$B$6:$B$26,0)),"")</x:f>
        <x:v>269</x:v>
      </x:c>
      <x:c r="H24" s="95" t="n">
        <x:f>D24*F24</x:f>
        <x:v>379</x:v>
      </x:c>
      <x:c r="I24" s="95" t="n">
        <x:f>IF(G24="","",D24*G24)</x:f>
        <x:v>269</x:v>
      </x:c>
      <x:c r="J24" s="51" t="str">
        <x:v>TBD</x:v>
      </x:c>
      <x:c r="K24" s="51" t="str">
        <x:v>TBD</x:v>
      </x:c>
      <x:c r="L24" s="51" t="n">
        <x:v>2</x:v>
      </x:c>
      <x:c r="M24" s="51" t="str">
        <x:v>TBD</x:v>
      </x:c>
    </x:row>
    <x:row r="25">
      <x:c r="A25" s="51" t="str">
        <x:v>BND-MTG-100</x:v>
      </x:c>
      <x:c r="B25" s="91" t="n">
        <x:v>1</x:v>
      </x:c>
      <x:c r="C25" s="91" t="str">
        <x:v>PP-100</x:v>
      </x:c>
      <x:c r="D25" s="91" t="n">
        <x:v>2</x:v>
      </x:c>
      <x:c r="E25" s="93" t="str">
        <x:f>IFERROR(INDEX('01_Item_Master'!$G$6:$G$26,MATCH(C25,'01_Item_Master'!$B$6:$B$26,0)),"")</x:f>
        <x:v>Paper-Pen Digital Meeting Assistant (Vertical / Leather)</x:v>
      </x:c>
      <x:c r="F25" s="95" t="n">
        <x:f>IFERROR(INDEX('02_Pricing'!$D$6:$D$26,MATCH(C25,'02_Pricing'!$B$6:$B$26,0)),"")</x:f>
        <x:v>399</x:v>
      </x:c>
      <x:c r="G25" s="95" t="n">
        <x:f>IFERROR(INDEX('02_Pricing'!$E$6:$E$26,MATCH(C25,'02_Pricing'!$B$6:$B$26,0)),"")</x:f>
        <x:v>279</x:v>
      </x:c>
      <x:c r="H25" s="95" t="n">
        <x:f>D25*F25</x:f>
        <x:v>798</x:v>
      </x:c>
      <x:c r="I25" s="95" t="n">
        <x:f>IF(G25="","",D25*G25)</x:f>
        <x:v>558</x:v>
      </x:c>
      <x:c r="J25" s="51" t="str">
        <x:v>N/A</x:v>
      </x:c>
      <x:c r="K25" s="51" t="str">
        <x:v>TBD</x:v>
      </x:c>
      <x:c r="L25" s="51" t="n">
        <x:v>2</x:v>
      </x:c>
      <x:c r="M25" s="51" t="str">
        <x:v>TBD</x:v>
      </x:c>
    </x:row>
    <x:row r="26">
      <x:c r="A26" s="51" t="str">
        <x:v>BND-MTG-100</x:v>
      </x:c>
      <x:c r="B26" s="91" t="n">
        <x:v>2</x:v>
      </x:c>
      <x:c r="C26" s="91" t="str">
        <x:v>SW-CE</x:v>
      </x:c>
      <x:c r="D26" s="91" t="n">
        <x:v>1</x:v>
      </x:c>
      <x:c r="E26" s="93" t="str">
        <x:f>IFERROR(INDEX('01_Item_Master'!$G$6:$G$26,MATCH(C26,'01_Item_Master'!$B$6:$B$26,0)),"")</x:f>
        <x:v>iDma Commercial Edition</x:v>
      </x:c>
      <x:c r="F26" s="95" t="n">
        <x:f>IFERROR(INDEX('02_Pricing'!$D$6:$D$26,MATCH(C26,'02_Pricing'!$B$6:$B$26,0)),"")</x:f>
        <x:v>249</x:v>
      </x:c>
      <x:c r="G26" s="95" t="n">
        <x:f>IFERROR(INDEX('02_Pricing'!$E$6:$E$26,MATCH(C26,'02_Pricing'!$B$6:$B$26,0)),"")</x:f>
        <x:v>179</x:v>
      </x:c>
      <x:c r="H26" s="95" t="n">
        <x:f>D26*F26</x:f>
        <x:v>249</x:v>
      </x:c>
      <x:c r="I26" s="95" t="n">
        <x:f>IF(G26="","",D26*G26)</x:f>
        <x:v>179</x:v>
      </x:c>
      <x:c r="J26" s="51" t="str">
        <x:v>TBD</x:v>
      </x:c>
      <x:c r="K26" s="51" t="str">
        <x:v>TBD</x:v>
      </x:c>
      <x:c r="L26" s="51" t="n">
        <x:v>2</x:v>
      </x:c>
      <x:c r="M26" s="51" t="str">
        <x:v>TBD</x:v>
      </x:c>
    </x:row>
    <x:row r="27">
      <x:c r="A27" s="51" t="str">
        <x:v>BND-MTG-110</x:v>
      </x:c>
      <x:c r="B27" s="91" t="n">
        <x:v>1</x:v>
      </x:c>
      <x:c r="C27" s="91" t="str">
        <x:v>PP-110</x:v>
      </x:c>
      <x:c r="D27" s="91" t="n">
        <x:v>2</x:v>
      </x:c>
      <x:c r="E27" s="93" t="str">
        <x:f>IFERROR(INDEX('01_Item_Master'!$G$6:$G$26,MATCH(C27,'01_Item_Master'!$B$6:$B$26,0)),"")</x:f>
        <x:v>Paper-Pen Digital Meeting Assistant (Horizontal A4 / Leather)</x:v>
      </x:c>
      <x:c r="F27" s="95" t="n">
        <x:f>IFERROR(INDEX('02_Pricing'!$D$6:$D$26,MATCH(C27,'02_Pricing'!$B$6:$B$26,0)),"")</x:f>
        <x:v>319</x:v>
      </x:c>
      <x:c r="G27" s="95" t="n">
        <x:f>IFERROR(INDEX('02_Pricing'!$E$6:$E$26,MATCH(C27,'02_Pricing'!$B$6:$B$26,0)),"")</x:f>
        <x:v>219</x:v>
      </x:c>
      <x:c r="H27" s="95" t="n">
        <x:f>D27*F27</x:f>
        <x:v>638</x:v>
      </x:c>
      <x:c r="I27" s="95" t="n">
        <x:f>IF(G27="","",D27*G27)</x:f>
        <x:v>438</x:v>
      </x:c>
      <x:c r="J27" s="51" t="str">
        <x:v>N/A</x:v>
      </x:c>
      <x:c r="K27" s="51" t="str">
        <x:v>TBD</x:v>
      </x:c>
      <x:c r="L27" s="51" t="n">
        <x:v>2</x:v>
      </x:c>
      <x:c r="M27" s="51" t="str">
        <x:v>TBD</x:v>
      </x:c>
    </x:row>
    <x:row r="28">
      <x:c r="A28" s="51" t="str">
        <x:v>BND-MTG-110</x:v>
      </x:c>
      <x:c r="B28" s="91" t="n">
        <x:v>2</x:v>
      </x:c>
      <x:c r="C28" s="91" t="str">
        <x:v>SW-CE</x:v>
      </x:c>
      <x:c r="D28" s="91" t="n">
        <x:v>1</x:v>
      </x:c>
      <x:c r="E28" s="93" t="str">
        <x:f>IFERROR(INDEX('01_Item_Master'!$G$6:$G$26,MATCH(C28,'01_Item_Master'!$B$6:$B$26,0)),"")</x:f>
        <x:v>iDma Commercial Edition</x:v>
      </x:c>
      <x:c r="F28" s="95" t="n">
        <x:f>IFERROR(INDEX('02_Pricing'!$D$6:$D$26,MATCH(C28,'02_Pricing'!$B$6:$B$26,0)),"")</x:f>
        <x:v>249</x:v>
      </x:c>
      <x:c r="G28" s="95" t="n">
        <x:f>IFERROR(INDEX('02_Pricing'!$E$6:$E$26,MATCH(C28,'02_Pricing'!$B$6:$B$26,0)),"")</x:f>
        <x:v>179</x:v>
      </x:c>
      <x:c r="H28" s="95" t="n">
        <x:f>D28*F28</x:f>
        <x:v>249</x:v>
      </x:c>
      <x:c r="I28" s="95" t="n">
        <x:f>IF(G28="","",D28*G28)</x:f>
        <x:v>179</x:v>
      </x:c>
      <x:c r="J28" s="51" t="str">
        <x:v>TBD</x:v>
      </x:c>
      <x:c r="K28" s="51" t="str">
        <x:v>TBD</x:v>
      </x:c>
      <x:c r="L28" s="51" t="n">
        <x:v>2</x:v>
      </x:c>
      <x:c r="M28" s="51" t="str">
        <x:v>TBD</x:v>
      </x:c>
    </x:row>
    <x:row r="29">
      <x:c r="A29" s="51" t="str">
        <x:v>BND-MTG-120</x:v>
      </x:c>
      <x:c r="B29" s="91" t="n">
        <x:v>1</x:v>
      </x:c>
      <x:c r="C29" s="91" t="str">
        <x:v>PP-120</x:v>
      </x:c>
      <x:c r="D29" s="91" t="n">
        <x:v>2</x:v>
      </x:c>
      <x:c r="E29" s="93" t="str">
        <x:f>IFERROR(INDEX('01_Item_Master'!$G$6:$G$26,MATCH(C29,'01_Item_Master'!$B$6:$B$26,0)),"")</x:f>
        <x:v>Paper-Pen Digital Meeting Assistant (Vertical / Polymer)</x:v>
      </x:c>
      <x:c r="F29" s="95" t="n">
        <x:f>IFERROR(INDEX('02_Pricing'!$D$6:$D$26,MATCH(C29,'02_Pricing'!$B$6:$B$26,0)),"")</x:f>
        <x:v>249</x:v>
      </x:c>
      <x:c r="G29" s="95" t="n">
        <x:f>IFERROR(INDEX('02_Pricing'!$E$6:$E$26,MATCH(C29,'02_Pricing'!$B$6:$B$26,0)),"")</x:f>
        <x:v>179</x:v>
      </x:c>
      <x:c r="H29" s="95" t="n">
        <x:f>D29*F29</x:f>
        <x:v>498</x:v>
      </x:c>
      <x:c r="I29" s="95" t="n">
        <x:f>IF(G29="","",D29*G29)</x:f>
        <x:v>358</x:v>
      </x:c>
      <x:c r="J29" s="51" t="str">
        <x:v>N/A</x:v>
      </x:c>
      <x:c r="K29" s="51" t="str">
        <x:v>TBD</x:v>
      </x:c>
      <x:c r="L29" s="51" t="n">
        <x:v>2</x:v>
      </x:c>
      <x:c r="M29" s="51" t="str">
        <x:v>TBD</x:v>
      </x:c>
    </x:row>
    <x:row r="30">
      <x:c r="A30" s="51" t="str">
        <x:v>BND-MTG-120</x:v>
      </x:c>
      <x:c r="B30" s="91" t="n">
        <x:v>2</x:v>
      </x:c>
      <x:c r="C30" s="91" t="str">
        <x:v>SW-CE</x:v>
      </x:c>
      <x:c r="D30" s="91" t="n">
        <x:v>1</x:v>
      </x:c>
      <x:c r="E30" s="93" t="str">
        <x:f>IFERROR(INDEX('01_Item_Master'!$G$6:$G$26,MATCH(C30,'01_Item_Master'!$B$6:$B$26,0)),"")</x:f>
        <x:v>iDma Commercial Edition</x:v>
      </x:c>
      <x:c r="F30" s="95" t="n">
        <x:f>IFERROR(INDEX('02_Pricing'!$D$6:$D$26,MATCH(C30,'02_Pricing'!$B$6:$B$26,0)),"")</x:f>
        <x:v>249</x:v>
      </x:c>
      <x:c r="G30" s="95" t="n">
        <x:f>IFERROR(INDEX('02_Pricing'!$E$6:$E$26,MATCH(C30,'02_Pricing'!$B$6:$B$26,0)),"")</x:f>
        <x:v>179</x:v>
      </x:c>
      <x:c r="H30" s="95" t="n">
        <x:f>D30*F30</x:f>
        <x:v>249</x:v>
      </x:c>
      <x:c r="I30" s="95" t="n">
        <x:f>IF(G30="","",D30*G30)</x:f>
        <x:v>179</x:v>
      </x:c>
      <x:c r="J30" s="51" t="str">
        <x:v>TBD</x:v>
      </x:c>
      <x:c r="K30" s="51" t="str">
        <x:v>TBD</x:v>
      </x:c>
      <x:c r="L30" s="51" t="n">
        <x:v>2</x:v>
      </x:c>
      <x:c r="M30" s="51" t="str">
        <x:v>TBD</x:v>
      </x:c>
    </x:row>
  </x:sheetData>
  <x:mergeCells>
    <x:mergeCell ref="A1:M1"/>
    <x:mergeCell ref="A2:M2"/>
  </x:mergeCells>
  <x:conditionalFormatting sqref="J6:M30">
    <x:cfRule type="containsText" dxfId="157" priority="1" operator="containsText" text="TBD"/>
    <x:cfRule type="containsText" dxfId="158" priority="2" operator="containsText" text="REVIEW"/>
    <x:cfRule type="containsText" dxfId="159" priority="3" operator="containsText" text="Hold"/>
    <x:cfRule type="containsText" dxfId="160" priority="4" operator="containsText" text="HOLD"/>
    <x:cfRule type="containsText" dxfId="161" priority="5" operator="containsText" text="FAIL"/>
    <x:cfRule type="containsText" dxfId="162" priority="6" operator="containsText" text="Not Accepted"/>
    <x:cfRule type="containsText" dxfId="163" priority="7" operator="containsText" text="N/A"/>
    <x:cfRule type="containsText" dxfId="164" priority="8" operator="containsText" text="Superseded"/>
    <x:cfRule type="containsText" dxfId="165" priority="9" operator="containsText" text="PASS"/>
    <x:cfRule type="containsText" dxfId="166" priority="10" operator="containsText" text="READY"/>
    <x:cfRule type="containsText" dxfId="167" priority="11" operator="containsText" text="Accepted"/>
    <x:cfRule type="containsText" dxfId="168" priority="12" operator="containsText" text="Confirmed"/>
  </x:conditionalFormatting>
  <x:dataValidations count="4">
    <x:dataValidation type="whole" operator="greaterThanOrEqual" sqref="D6:D30">
      <x:formula1>1</x:formula1>
    </x:dataValidation>
    <x:dataValidation type="list" sqref="J6:J30">
      <x:formula1>"TBD,N/A,1,2,5"</x:formula1>
    </x:dataValidation>
    <x:dataValidation type="list" sqref="K6:K30">
      <x:formula1>"Factory Bundle,Virtual Kit,TBD"</x:formula1>
    </x:dataValidation>
    <x:dataValidation type="list" sqref="M6:M30">
      <x:formula1>"Confirmed,TBD,Hold"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ae718b160e4a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6" hidden="0" customWidth="1"/>
    <x:col min="4" max="4" width="15" hidden="0" customWidth="1"/>
    <x:col min="5" max="5" width="12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22" hidden="0" customWidth="1"/>
    <x:col min="17" max="17" width="16" hidden="0" customWidth="1"/>
    <x:col min="18" max="18" width="22" hidden="0" customWidth="1"/>
    <x:col min="19" max="19" width="16" hidden="0" customWidth="1"/>
    <x:col min="20" max="20" width="18" hidden="0" customWidth="1"/>
    <x:col min="21" max="21" width="23" hidden="0" customWidth="1"/>
    <x:col min="22" max="22" width="17" hidden="0" customWidth="1"/>
    <x:col min="23" max="23" width="18" hidden="0" customWidth="1"/>
    <x:col min="24" max="24" width="52" hidden="0" customWidth="1"/>
  </x:cols>
  <x:sheetData>
    <x:row r="1" ht="30" customHeight="1">
      <x:c r="A1" s="3" t="str">
        <x:v>04 - Logistics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8" customHeight="1">
      <x:c r="A2" s="7" t="str">
        <x:v>KTS terms are confirmed at vendor level; product dimensions, pack, order multiple, lead time, and serialization workflow remain TBD.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5" ht="32" customHeight="1">
      <x:c r="A5" s="46" t="str">
        <x:v>Vendor_SKU</x:v>
      </x:c>
      <x:c r="B5" s="46" t="str">
        <x:v>Physical_Product_Status</x:v>
      </x:c>
      <x:c r="C5" s="46" t="str">
        <x:v>Ship_From_Address</x:v>
      </x:c>
      <x:c r="D5" s="46" t="str">
        <x:v>Suggested_UOM</x:v>
      </x:c>
      <x:c r="E5" s="46" t="str">
        <x:v>Case_Pack</x:v>
      </x:c>
      <x:c r="F5" s="46" t="str">
        <x:v>Order_Multiple</x:v>
      </x:c>
      <x:c r="G5" s="46" t="str">
        <x:v>Unit_Length_in</x:v>
      </x:c>
      <x:c r="H5" s="46" t="str">
        <x:v>Unit_Width_in</x:v>
      </x:c>
      <x:c r="I5" s="46" t="str">
        <x:v>Unit_Height_in</x:v>
      </x:c>
      <x:c r="J5" s="46" t="str">
        <x:v>Unit_Weight_lb</x:v>
      </x:c>
      <x:c r="K5" s="46" t="str">
        <x:v>Carton_Length_in</x:v>
      </x:c>
      <x:c r="L5" s="46" t="str">
        <x:v>Carton_Width_in</x:v>
      </x:c>
      <x:c r="M5" s="46" t="str">
        <x:v>Carton_Height_in</x:v>
      </x:c>
      <x:c r="N5" s="46" t="str">
        <x:v>Carton_Weight_lb</x:v>
      </x:c>
      <x:c r="O5" s="46" t="str">
        <x:v>Pallet_Qty</x:v>
      </x:c>
      <x:c r="P5" s="46" t="str">
        <x:v>Lead_Time_Business_Days</x:v>
      </x:c>
      <x:c r="Q5" s="46" t="str">
        <x:v>Serialized_Flag</x:v>
      </x:c>
      <x:c r="R5" s="46" t="str">
        <x:v>Serial_Data_Method</x:v>
      </x:c>
      <x:c r="S5" s="46" t="str">
        <x:v>Battery_Included</x:v>
      </x:c>
      <x:c r="T5" s="46" t="str">
        <x:v>Freight_Term</x:v>
      </x:c>
      <x:c r="U5" s="46" t="str">
        <x:v>Free_Stock_PO_Shipping</x:v>
      </x:c>
      <x:c r="V5" s="46" t="str">
        <x:v>Drop_Ship_Flag</x:v>
      </x:c>
      <x:c r="W5" s="46" t="str">
        <x:v>Logistics_Status</x:v>
      </x:c>
      <x:c r="X5" s="46" t="str">
        <x:v>Open_Issues</x:v>
      </x:c>
    </x:row>
    <x:row r="6">
      <x:c r="A6" s="50" t="str">
        <x:v>PP-100</x:v>
      </x:c>
      <x:c r="B6" s="50" t="str">
        <x:v>Yes</x:v>
      </x:c>
      <x:c r="C6" s="50" t="str">
        <x:v>TBD</x:v>
      </x:c>
      <x:c r="D6" s="50" t="str">
        <x:v>EA</x:v>
      </x:c>
      <x:c r="E6" s="100"/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50" t="str">
        <x:v>TBD</x:v>
      </x:c>
      <x:c r="R6" s="50" t="str">
        <x:v>TBD</x:v>
      </x:c>
      <x:c r="S6" s="50" t="str">
        <x:v>TBD</x:v>
      </x:c>
      <x:c r="T6" s="50" t="str">
        <x:v>FOB Destination</x:v>
      </x:c>
      <x:c r="U6" s="50" t="str">
        <x:v>Yes</x:v>
      </x:c>
      <x:c r="V6" s="50" t="str">
        <x:v>No</x:v>
      </x:c>
      <x:c r="W6" s="50" t="str">
        <x:f>IF(AND(C6&lt;&gt;"TBD",E6&lt;&gt;"",F6&lt;&gt;"",P6&lt;&gt;"",Q6&lt;&gt;"TBD",S6&lt;&gt;"TBD"),"READY","TBD")</x:f>
        <x:v>TBD</x:v>
      </x:c>
      <x:c r="X6" s="92" t="str">
        <x:v>Provide ship-from, pack, dimensions, weight, lead time, serialization, and battery status.</x:v>
      </x:c>
    </x:row>
    <x:row r="7">
      <x:c r="A7" s="51" t="str">
        <x:v>PP-110</x:v>
      </x:c>
      <x:c r="B7" s="51" t="str">
        <x:v>Yes</x:v>
      </x:c>
      <x:c r="C7" s="51" t="str">
        <x:v>TBD</x:v>
      </x:c>
      <x:c r="D7" s="51" t="str">
        <x:v>EA</x:v>
      </x:c>
      <x:c r="E7" s="101"/>
      <x:c r="F7" s="101"/>
      <x:c r="G7" s="101"/>
      <x:c r="H7" s="101"/>
      <x:c r="I7" s="101"/>
      <x:c r="J7" s="101"/>
      <x:c r="K7" s="101"/>
      <x:c r="L7" s="101"/>
      <x:c r="M7" s="101"/>
      <x:c r="N7" s="101"/>
      <x:c r="O7" s="101"/>
      <x:c r="P7" s="101"/>
      <x:c r="Q7" s="51" t="str">
        <x:v>TBD</x:v>
      </x:c>
      <x:c r="R7" s="51" t="str">
        <x:v>TBD</x:v>
      </x:c>
      <x:c r="S7" s="51" t="str">
        <x:v>TBD</x:v>
      </x:c>
      <x:c r="T7" s="51" t="str">
        <x:v>FOB Destination</x:v>
      </x:c>
      <x:c r="U7" s="51" t="str">
        <x:v>Yes</x:v>
      </x:c>
      <x:c r="V7" s="51" t="str">
        <x:v>No</x:v>
      </x:c>
      <x:c r="W7" s="51" t="str">
        <x:f>IF(AND(C7&lt;&gt;"TBD",E7&lt;&gt;"",F7&lt;&gt;"",P7&lt;&gt;"",Q7&lt;&gt;"TBD",S7&lt;&gt;"TBD"),"READY","TBD")</x:f>
        <x:v>TBD</x:v>
      </x:c>
      <x:c r="X7" s="93" t="str">
        <x:v>Provide ship-from, pack, dimensions, weight, lead time, serialization, and battery status.</x:v>
      </x:c>
    </x:row>
    <x:row r="8">
      <x:c r="A8" s="51" t="str">
        <x:v>PP-120</x:v>
      </x:c>
      <x:c r="B8" s="51" t="str">
        <x:v>Yes</x:v>
      </x:c>
      <x:c r="C8" s="51" t="str">
        <x:v>TBD</x:v>
      </x:c>
      <x:c r="D8" s="51" t="str">
        <x:v>EA</x:v>
      </x:c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51" t="str">
        <x:v>TBD</x:v>
      </x:c>
      <x:c r="R8" s="51" t="str">
        <x:v>TBD</x:v>
      </x:c>
      <x:c r="S8" s="51" t="str">
        <x:v>TBD</x:v>
      </x:c>
      <x:c r="T8" s="51" t="str">
        <x:v>FOB Destination</x:v>
      </x:c>
      <x:c r="U8" s="51" t="str">
        <x:v>Yes</x:v>
      </x:c>
      <x:c r="V8" s="51" t="str">
        <x:v>No</x:v>
      </x:c>
      <x:c r="W8" s="51" t="str">
        <x:f>IF(AND(C8&lt;&gt;"TBD",E8&lt;&gt;"",F8&lt;&gt;"",P8&lt;&gt;"",Q8&lt;&gt;"TBD",S8&lt;&gt;"TBD"),"READY","TBD")</x:f>
        <x:v>TBD</x:v>
      </x:c>
      <x:c r="X8" s="93" t="str">
        <x:v>Provide ship-from, pack, dimensions, weight, lead time, serialization, and battery status.</x:v>
      </x:c>
    </x:row>
    <x:row r="9">
      <x:c r="A9" s="51" t="str">
        <x:v>GW-210</x:v>
      </x:c>
      <x:c r="B9" s="51" t="str">
        <x:v>Yes</x:v>
      </x:c>
      <x:c r="C9" s="51" t="str">
        <x:v>TBD</x:v>
      </x:c>
      <x:c r="D9" s="51" t="str">
        <x:v>EA</x:v>
      </x:c>
      <x:c r="E9" s="101"/>
      <x:c r="F9" s="101"/>
      <x:c r="G9" s="101"/>
      <x:c r="H9" s="101"/>
      <x:c r="I9" s="101"/>
      <x:c r="J9" s="101"/>
      <x:c r="K9" s="101"/>
      <x:c r="L9" s="101"/>
      <x:c r="M9" s="101"/>
      <x:c r="N9" s="101"/>
      <x:c r="O9" s="101"/>
      <x:c r="P9" s="101"/>
      <x:c r="Q9" s="51" t="str">
        <x:v>TBD</x:v>
      </x:c>
      <x:c r="R9" s="51" t="str">
        <x:v>TBD</x:v>
      </x:c>
      <x:c r="S9" s="51" t="str">
        <x:v>TBD</x:v>
      </x:c>
      <x:c r="T9" s="51" t="str">
        <x:v>FOB Destination</x:v>
      </x:c>
      <x:c r="U9" s="51" t="str">
        <x:v>Yes</x:v>
      </x:c>
      <x:c r="V9" s="51" t="str">
        <x:v>No</x:v>
      </x:c>
      <x:c r="W9" s="51" t="str">
        <x:f>IF(AND(C9&lt;&gt;"TBD",E9&lt;&gt;"",F9&lt;&gt;"",P9&lt;&gt;"",Q9&lt;&gt;"TBD",S9&lt;&gt;"TBD"),"READY","TBD")</x:f>
        <x:v>TBD</x:v>
      </x:c>
      <x:c r="X9" s="93" t="str">
        <x:v>Provide ship-from, pack, dimensions, weight, lead time, serialization, and battery status.</x:v>
      </x:c>
    </x:row>
    <x:row r="10">
      <x:c r="A10" s="51" t="str">
        <x:v>GW-400</x:v>
      </x:c>
      <x:c r="B10" s="51" t="str">
        <x:v>Yes</x:v>
      </x:c>
      <x:c r="C10" s="51" t="str">
        <x:v>TBD</x:v>
      </x:c>
      <x:c r="D10" s="51" t="str">
        <x:v>EA</x:v>
      </x:c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51" t="str">
        <x:v>TBD</x:v>
      </x:c>
      <x:c r="R10" s="51" t="str">
        <x:v>TBD</x:v>
      </x:c>
      <x:c r="S10" s="51" t="str">
        <x:v>TBD</x:v>
      </x:c>
      <x:c r="T10" s="51" t="str">
        <x:v>FOB Destination</x:v>
      </x:c>
      <x:c r="U10" s="51" t="str">
        <x:v>Yes</x:v>
      </x:c>
      <x:c r="V10" s="51" t="str">
        <x:v>No</x:v>
      </x:c>
      <x:c r="W10" s="51" t="str">
        <x:f>IF(AND(C10&lt;&gt;"TBD",E10&lt;&gt;"",F10&lt;&gt;"",P10&lt;&gt;"",Q10&lt;&gt;"TBD",S10&lt;&gt;"TBD"),"READY","TBD")</x:f>
        <x:v>TBD</x:v>
      </x:c>
      <x:c r="X10" s="93" t="str">
        <x:v>Provide ship-from, pack, dimensions, weight, lead time, serialization, and battery status.</x:v>
      </x:c>
    </x:row>
    <x:row r="11">
      <x:c r="A11" s="51" t="str">
        <x:v>HEM-100</x:v>
      </x:c>
      <x:c r="B11" s="51" t="str">
        <x:v>Yes</x:v>
      </x:c>
      <x:c r="C11" s="51" t="str">
        <x:v>TBD</x:v>
      </x:c>
      <x:c r="D11" s="51" t="str">
        <x:v>EA</x:v>
      </x:c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51" t="str">
        <x:v>TBD</x:v>
      </x:c>
      <x:c r="R11" s="51" t="str">
        <x:v>TBD</x:v>
      </x:c>
      <x:c r="S11" s="51" t="str">
        <x:v>TBD</x:v>
      </x:c>
      <x:c r="T11" s="51" t="str">
        <x:v>FOB Destination</x:v>
      </x:c>
      <x:c r="U11" s="51" t="str">
        <x:v>Yes</x:v>
      </x:c>
      <x:c r="V11" s="51" t="str">
        <x:v>No</x:v>
      </x:c>
      <x:c r="W11" s="51" t="str">
        <x:f>IF(AND(C11&lt;&gt;"TBD",E11&lt;&gt;"",F11&lt;&gt;"",P11&lt;&gt;"",Q11&lt;&gt;"TBD",S11&lt;&gt;"TBD"),"READY","TBD")</x:f>
        <x:v>TBD</x:v>
      </x:c>
      <x:c r="X11" s="93" t="str">
        <x:v>Provide ship-from, pack, dimensions, weight, lead time, serialization, and battery status.</x:v>
      </x:c>
    </x:row>
    <x:row r="12">
      <x:c r="A12" s="51" t="str">
        <x:v>SW-OPS</x:v>
      </x:c>
      <x:c r="B12" s="51" t="str">
        <x:v>TBD</x:v>
      </x:c>
      <x:c r="C12" s="51" t="str">
        <x:v>TBD</x:v>
      </x:c>
      <x:c r="D12" s="51" t="str">
        <x:v>LIC</x:v>
      </x:c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51" t="str">
        <x:v>TBD</x:v>
      </x:c>
      <x:c r="R12" s="51" t="str">
        <x:v>TBD</x:v>
      </x:c>
      <x:c r="S12" s="51" t="str">
        <x:v>TBD</x:v>
      </x:c>
      <x:c r="T12" s="51" t="str">
        <x:v>FOB Destination</x:v>
      </x:c>
      <x:c r="U12" s="51" t="str">
        <x:v>Yes</x:v>
      </x:c>
      <x:c r="V12" s="51" t="str">
        <x:v>No</x:v>
      </x:c>
      <x:c r="W12" s="51" t="str">
        <x:f>IF(AND(C12&lt;&gt;"TBD",E12&lt;&gt;"",F12&lt;&gt;"",P12&lt;&gt;"",Q12&lt;&gt;"TBD",S12&lt;&gt;"TBD"),"READY","TBD")</x:f>
        <x:v>TBD</x:v>
      </x:c>
      <x:c r="X12" s="93" t="str">
        <x:v>Confirm ESD/license-code fulfillment before marking physical fields N/A.</x:v>
      </x:c>
    </x:row>
    <x:row r="13">
      <x:c r="A13" s="51" t="str">
        <x:v>SW-CE</x:v>
      </x:c>
      <x:c r="B13" s="51" t="str">
        <x:v>TBD</x:v>
      </x:c>
      <x:c r="C13" s="51" t="str">
        <x:v>TBD</x:v>
      </x:c>
      <x:c r="D13" s="51" t="str">
        <x:v>LIC</x:v>
      </x:c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51" t="str">
        <x:v>TBD</x:v>
      </x:c>
      <x:c r="R13" s="51" t="str">
        <x:v>TBD</x:v>
      </x:c>
      <x:c r="S13" s="51" t="str">
        <x:v>TBD</x:v>
      </x:c>
      <x:c r="T13" s="51" t="str">
        <x:v>FOB Destination</x:v>
      </x:c>
      <x:c r="U13" s="51" t="str">
        <x:v>Yes</x:v>
      </x:c>
      <x:c r="V13" s="51" t="str">
        <x:v>No</x:v>
      </x:c>
      <x:c r="W13" s="51" t="str">
        <x:f>IF(AND(C13&lt;&gt;"TBD",E13&lt;&gt;"",F13&lt;&gt;"",P13&lt;&gt;"",Q13&lt;&gt;"TBD",S13&lt;&gt;"TBD"),"READY","TBD")</x:f>
        <x:v>TBD</x:v>
      </x:c>
      <x:c r="X13" s="93" t="str">
        <x:v>Confirm ESD/license-code fulfillment before marking physical fields N/A.</x:v>
      </x:c>
    </x:row>
    <x:row r="14">
      <x:c r="A14" s="51" t="str">
        <x:v>SW-ZOOM</x:v>
      </x:c>
      <x:c r="B14" s="51" t="str">
        <x:v>TBD</x:v>
      </x:c>
      <x:c r="C14" s="51" t="str">
        <x:v>TBD</x:v>
      </x:c>
      <x:c r="D14" s="51" t="str">
        <x:v>LIC</x:v>
      </x:c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51" t="str">
        <x:v>TBD</x:v>
      </x:c>
      <x:c r="R14" s="51" t="str">
        <x:v>TBD</x:v>
      </x:c>
      <x:c r="S14" s="51" t="str">
        <x:v>TBD</x:v>
      </x:c>
      <x:c r="T14" s="51" t="str">
        <x:v>FOB Destination</x:v>
      </x:c>
      <x:c r="U14" s="51" t="str">
        <x:v>Yes</x:v>
      </x:c>
      <x:c r="V14" s="51" t="str">
        <x:v>No</x:v>
      </x:c>
      <x:c r="W14" s="51" t="str">
        <x:f>IF(AND(C14&lt;&gt;"TBD",E14&lt;&gt;"",F14&lt;&gt;"",P14&lt;&gt;"",Q14&lt;&gt;"TBD",S14&lt;&gt;"TBD"),"READY","TBD")</x:f>
        <x:v>TBD</x:v>
      </x:c>
      <x:c r="X14" s="93" t="str">
        <x:v>Confirm ESD/license-code fulfillment before marking physical fields N/A.</x:v>
      </x:c>
    </x:row>
    <x:row r="15">
      <x:c r="A15" s="51" t="str">
        <x:v>SW-HOME</x:v>
      </x:c>
      <x:c r="B15" s="51" t="str">
        <x:v>TBD</x:v>
      </x:c>
      <x:c r="C15" s="51" t="str">
        <x:v>TBD</x:v>
      </x:c>
      <x:c r="D15" s="51" t="str">
        <x:v>LIC</x:v>
      </x:c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51" t="str">
        <x:v>TBD</x:v>
      </x:c>
      <x:c r="R15" s="51" t="str">
        <x:v>TBD</x:v>
      </x:c>
      <x:c r="S15" s="51" t="str">
        <x:v>TBD</x:v>
      </x:c>
      <x:c r="T15" s="51" t="str">
        <x:v>FOB Destination</x:v>
      </x:c>
      <x:c r="U15" s="51" t="str">
        <x:v>Yes</x:v>
      </x:c>
      <x:c r="V15" s="51" t="str">
        <x:v>No</x:v>
      </x:c>
      <x:c r="W15" s="51" t="str">
        <x:f>IF(AND(C15&lt;&gt;"TBD",E15&lt;&gt;"",F15&lt;&gt;"",P15&lt;&gt;"",Q15&lt;&gt;"TBD",S15&lt;&gt;"TBD"),"READY","TBD")</x:f>
        <x:v>TBD</x:v>
      </x:c>
      <x:c r="X15" s="93" t="str">
        <x:v>Confirm ESD/license-code fulfillment before marking physical fields N/A.</x:v>
      </x:c>
    </x:row>
    <x:row r="16">
      <x:c r="A16" s="51" t="str">
        <x:v>BND-GW-100</x:v>
      </x:c>
      <x:c r="B16" s="51" t="str">
        <x:v>TBD</x:v>
      </x:c>
      <x:c r="C16" s="51" t="str">
        <x:v>TBD</x:v>
      </x:c>
      <x:c r="D16" s="51" t="str">
        <x:v>KIT</x:v>
      </x:c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51" t="str">
        <x:v>TBD</x:v>
      </x:c>
      <x:c r="R16" s="51" t="str">
        <x:v>TBD</x:v>
      </x:c>
      <x:c r="S16" s="51" t="str">
        <x:v>TBD</x:v>
      </x:c>
      <x:c r="T16" s="51" t="str">
        <x:v>FOB Destination</x:v>
      </x:c>
      <x:c r="U16" s="51" t="str">
        <x:v>Yes</x:v>
      </x:c>
      <x:c r="V16" s="51" t="str">
        <x:v>No</x:v>
      </x:c>
      <x:c r="W16" s="51" t="str">
        <x:f>IF(AND(C16&lt;&gt;"TBD",E16&lt;&gt;"",F16&lt;&gt;"",P16&lt;&gt;"",Q16&lt;&gt;"TBD",S16&lt;&gt;"TBD"),"READY","TBD")</x:f>
        <x:v>TBD</x:v>
      </x:c>
      <x:c r="X16" s="93" t="str">
        <x:v>Confirm factory bundle vs B&amp;H virtual kit before pack data.</x:v>
      </x:c>
    </x:row>
    <x:row r="17">
      <x:c r="A17" s="51" t="str">
        <x:v>BND-GW-110</x:v>
      </x:c>
      <x:c r="B17" s="51" t="str">
        <x:v>TBD</x:v>
      </x:c>
      <x:c r="C17" s="51" t="str">
        <x:v>TBD</x:v>
      </x:c>
      <x:c r="D17" s="51" t="str">
        <x:v>KIT</x:v>
      </x:c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51" t="str">
        <x:v>TBD</x:v>
      </x:c>
      <x:c r="R17" s="51" t="str">
        <x:v>TBD</x:v>
      </x:c>
      <x:c r="S17" s="51" t="str">
        <x:v>TBD</x:v>
      </x:c>
      <x:c r="T17" s="51" t="str">
        <x:v>FOB Destination</x:v>
      </x:c>
      <x:c r="U17" s="51" t="str">
        <x:v>Yes</x:v>
      </x:c>
      <x:c r="V17" s="51" t="str">
        <x:v>No</x:v>
      </x:c>
      <x:c r="W17" s="51" t="str">
        <x:f>IF(AND(C17&lt;&gt;"TBD",E17&lt;&gt;"",F17&lt;&gt;"",P17&lt;&gt;"",Q17&lt;&gt;"TBD",S17&lt;&gt;"TBD"),"READY","TBD")</x:f>
        <x:v>TBD</x:v>
      </x:c>
      <x:c r="X17" s="93" t="str">
        <x:v>Confirm factory bundle vs B&amp;H virtual kit before pack data.</x:v>
      </x:c>
    </x:row>
    <x:row r="18">
      <x:c r="A18" s="51" t="str">
        <x:v>BND-GW-120</x:v>
      </x:c>
      <x:c r="B18" s="51" t="str">
        <x:v>TBD</x:v>
      </x:c>
      <x:c r="C18" s="51" t="str">
        <x:v>TBD</x:v>
      </x:c>
      <x:c r="D18" s="51" t="str">
        <x:v>KIT</x:v>
      </x:c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51" t="str">
        <x:v>TBD</x:v>
      </x:c>
      <x:c r="R18" s="51" t="str">
        <x:v>TBD</x:v>
      </x:c>
      <x:c r="S18" s="51" t="str">
        <x:v>TBD</x:v>
      </x:c>
      <x:c r="T18" s="51" t="str">
        <x:v>FOB Destination</x:v>
      </x:c>
      <x:c r="U18" s="51" t="str">
        <x:v>Yes</x:v>
      </x:c>
      <x:c r="V18" s="51" t="str">
        <x:v>No</x:v>
      </x:c>
      <x:c r="W18" s="51" t="str">
        <x:f>IF(AND(C18&lt;&gt;"TBD",E18&lt;&gt;"",F18&lt;&gt;"",P18&lt;&gt;"",Q18&lt;&gt;"TBD",S18&lt;&gt;"TBD"),"READY","TBD")</x:f>
        <x:v>TBD</x:v>
      </x:c>
      <x:c r="X18" s="93" t="str">
        <x:v>Confirm factory bundle vs B&amp;H virtual kit before pack data.</x:v>
      </x:c>
    </x:row>
    <x:row r="19">
      <x:c r="A19" s="51" t="str">
        <x:v>BND-ZOOM-100</x:v>
      </x:c>
      <x:c r="B19" s="51" t="str">
        <x:v>TBD</x:v>
      </x:c>
      <x:c r="C19" s="51" t="str">
        <x:v>TBD</x:v>
      </x:c>
      <x:c r="D19" s="51" t="str">
        <x:v>KIT</x:v>
      </x:c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51" t="str">
        <x:v>TBD</x:v>
      </x:c>
      <x:c r="R19" s="51" t="str">
        <x:v>TBD</x:v>
      </x:c>
      <x:c r="S19" s="51" t="str">
        <x:v>TBD</x:v>
      </x:c>
      <x:c r="T19" s="51" t="str">
        <x:v>FOB Destination</x:v>
      </x:c>
      <x:c r="U19" s="51" t="str">
        <x:v>Yes</x:v>
      </x:c>
      <x:c r="V19" s="51" t="str">
        <x:v>No</x:v>
      </x:c>
      <x:c r="W19" s="51" t="str">
        <x:f>IF(AND(C19&lt;&gt;"TBD",E19&lt;&gt;"",F19&lt;&gt;"",P19&lt;&gt;"",Q19&lt;&gt;"TBD",S19&lt;&gt;"TBD"),"READY","TBD")</x:f>
        <x:v>TBD</x:v>
      </x:c>
      <x:c r="X19" s="93" t="str">
        <x:v>Confirm factory bundle vs B&amp;H virtual kit before pack data.</x:v>
      </x:c>
    </x:row>
    <x:row r="20">
      <x:c r="A20" s="51" t="str">
        <x:v>BND-ZOOM-110</x:v>
      </x:c>
      <x:c r="B20" s="51" t="str">
        <x:v>TBD</x:v>
      </x:c>
      <x:c r="C20" s="51" t="str">
        <x:v>TBD</x:v>
      </x:c>
      <x:c r="D20" s="51" t="str">
        <x:v>KIT</x:v>
      </x:c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51" t="str">
        <x:v>TBD</x:v>
      </x:c>
      <x:c r="R20" s="51" t="str">
        <x:v>TBD</x:v>
      </x:c>
      <x:c r="S20" s="51" t="str">
        <x:v>TBD</x:v>
      </x:c>
      <x:c r="T20" s="51" t="str">
        <x:v>FOB Destination</x:v>
      </x:c>
      <x:c r="U20" s="51" t="str">
        <x:v>Yes</x:v>
      </x:c>
      <x:c r="V20" s="51" t="str">
        <x:v>No</x:v>
      </x:c>
      <x:c r="W20" s="51" t="str">
        <x:f>IF(AND(C20&lt;&gt;"TBD",E20&lt;&gt;"",F20&lt;&gt;"",P20&lt;&gt;"",Q20&lt;&gt;"TBD",S20&lt;&gt;"TBD"),"READY","TBD")</x:f>
        <x:v>TBD</x:v>
      </x:c>
      <x:c r="X20" s="93" t="str">
        <x:v>Confirm factory bundle vs B&amp;H virtual kit before pack data.</x:v>
      </x:c>
    </x:row>
    <x:row r="21">
      <x:c r="A21" s="51" t="str">
        <x:v>BND-ZOOM-120</x:v>
      </x:c>
      <x:c r="B21" s="51" t="str">
        <x:v>TBD</x:v>
      </x:c>
      <x:c r="C21" s="51" t="str">
        <x:v>TBD</x:v>
      </x:c>
      <x:c r="D21" s="51" t="str">
        <x:v>KIT</x:v>
      </x:c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51" t="str">
        <x:v>TBD</x:v>
      </x:c>
      <x:c r="R21" s="51" t="str">
        <x:v>TBD</x:v>
      </x:c>
      <x:c r="S21" s="51" t="str">
        <x:v>TBD</x:v>
      </x:c>
      <x:c r="T21" s="51" t="str">
        <x:v>FOB Destination</x:v>
      </x:c>
      <x:c r="U21" s="51" t="str">
        <x:v>Yes</x:v>
      </x:c>
      <x:c r="V21" s="51" t="str">
        <x:v>No</x:v>
      </x:c>
      <x:c r="W21" s="51" t="str">
        <x:f>IF(AND(C21&lt;&gt;"TBD",E21&lt;&gt;"",F21&lt;&gt;"",P21&lt;&gt;"",Q21&lt;&gt;"TBD",S21&lt;&gt;"TBD"),"READY","TBD")</x:f>
        <x:v>TBD</x:v>
      </x:c>
      <x:c r="X21" s="93" t="str">
        <x:v>Confirm factory bundle vs B&amp;H virtual kit before pack data.</x:v>
      </x:c>
    </x:row>
    <x:row r="22">
      <x:c r="A22" s="51" t="str">
        <x:v>BND-OPS-100</x:v>
      </x:c>
      <x:c r="B22" s="51" t="str">
        <x:v>TBD</x:v>
      </x:c>
      <x:c r="C22" s="51" t="str">
        <x:v>TBD</x:v>
      </x:c>
      <x:c r="D22" s="51" t="str">
        <x:v>KIT</x:v>
      </x:c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51" t="str">
        <x:v>TBD</x:v>
      </x:c>
      <x:c r="R22" s="51" t="str">
        <x:v>TBD</x:v>
      </x:c>
      <x:c r="S22" s="51" t="str">
        <x:v>TBD</x:v>
      </x:c>
      <x:c r="T22" s="51" t="str">
        <x:v>FOB Destination</x:v>
      </x:c>
      <x:c r="U22" s="51" t="str">
        <x:v>Yes</x:v>
      </x:c>
      <x:c r="V22" s="51" t="str">
        <x:v>No</x:v>
      </x:c>
      <x:c r="W22" s="51" t="str">
        <x:f>IF(AND(C22&lt;&gt;"TBD",E22&lt;&gt;"",F22&lt;&gt;"",P22&lt;&gt;"",Q22&lt;&gt;"TBD",S22&lt;&gt;"TBD"),"READY","TBD")</x:f>
        <x:v>TBD</x:v>
      </x:c>
      <x:c r="X22" s="93" t="str">
        <x:v>Confirm factory bundle vs B&amp;H virtual kit before pack data.</x:v>
      </x:c>
    </x:row>
    <x:row r="23">
      <x:c r="A23" s="51" t="str">
        <x:v>BND-OPS-120</x:v>
      </x:c>
      <x:c r="B23" s="51" t="str">
        <x:v>TBD</x:v>
      </x:c>
      <x:c r="C23" s="51" t="str">
        <x:v>TBD</x:v>
      </x:c>
      <x:c r="D23" s="51" t="str">
        <x:v>KIT</x:v>
      </x:c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51" t="str">
        <x:v>TBD</x:v>
      </x:c>
      <x:c r="R23" s="51" t="str">
        <x:v>TBD</x:v>
      </x:c>
      <x:c r="S23" s="51" t="str">
        <x:v>TBD</x:v>
      </x:c>
      <x:c r="T23" s="51" t="str">
        <x:v>FOB Destination</x:v>
      </x:c>
      <x:c r="U23" s="51" t="str">
        <x:v>Yes</x:v>
      </x:c>
      <x:c r="V23" s="51" t="str">
        <x:v>No</x:v>
      </x:c>
      <x:c r="W23" s="51" t="str">
        <x:f>IF(AND(C23&lt;&gt;"TBD",E23&lt;&gt;"",F23&lt;&gt;"",P23&lt;&gt;"",Q23&lt;&gt;"TBD",S23&lt;&gt;"TBD"),"READY","TBD")</x:f>
        <x:v>TBD</x:v>
      </x:c>
      <x:c r="X23" s="93" t="str">
        <x:v>Confirm factory bundle vs B&amp;H virtual kit before pack data.</x:v>
      </x:c>
    </x:row>
    <x:row r="24">
      <x:c r="A24" s="51" t="str">
        <x:v>BND-MTG-100</x:v>
      </x:c>
      <x:c r="B24" s="51" t="str">
        <x:v>TBD</x:v>
      </x:c>
      <x:c r="C24" s="51" t="str">
        <x:v>TBD</x:v>
      </x:c>
      <x:c r="D24" s="51" t="str">
        <x:v>KIT</x:v>
      </x:c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51" t="str">
        <x:v>TBD</x:v>
      </x:c>
      <x:c r="R24" s="51" t="str">
        <x:v>TBD</x:v>
      </x:c>
      <x:c r="S24" s="51" t="str">
        <x:v>TBD</x:v>
      </x:c>
      <x:c r="T24" s="51" t="str">
        <x:v>FOB Destination</x:v>
      </x:c>
      <x:c r="U24" s="51" t="str">
        <x:v>Yes</x:v>
      </x:c>
      <x:c r="V24" s="51" t="str">
        <x:v>No</x:v>
      </x:c>
      <x:c r="W24" s="51" t="str">
        <x:f>IF(AND(C24&lt;&gt;"TBD",E24&lt;&gt;"",F24&lt;&gt;"",P24&lt;&gt;"",Q24&lt;&gt;"TBD",S24&lt;&gt;"TBD"),"READY","TBD")</x:f>
        <x:v>TBD</x:v>
      </x:c>
      <x:c r="X24" s="93" t="str">
        <x:v>Confirm factory bundle vs B&amp;H virtual kit before pack data.</x:v>
      </x:c>
    </x:row>
    <x:row r="25">
      <x:c r="A25" s="51" t="str">
        <x:v>BND-MTG-110</x:v>
      </x:c>
      <x:c r="B25" s="51" t="str">
        <x:v>TBD</x:v>
      </x:c>
      <x:c r="C25" s="51" t="str">
        <x:v>TBD</x:v>
      </x:c>
      <x:c r="D25" s="51" t="str">
        <x:v>KIT</x:v>
      </x:c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51" t="str">
        <x:v>TBD</x:v>
      </x:c>
      <x:c r="R25" s="51" t="str">
        <x:v>TBD</x:v>
      </x:c>
      <x:c r="S25" s="51" t="str">
        <x:v>TBD</x:v>
      </x:c>
      <x:c r="T25" s="51" t="str">
        <x:v>FOB Destination</x:v>
      </x:c>
      <x:c r="U25" s="51" t="str">
        <x:v>Yes</x:v>
      </x:c>
      <x:c r="V25" s="51" t="str">
        <x:v>No</x:v>
      </x:c>
      <x:c r="W25" s="51" t="str">
        <x:f>IF(AND(C25&lt;&gt;"TBD",E25&lt;&gt;"",F25&lt;&gt;"",P25&lt;&gt;"",Q25&lt;&gt;"TBD",S25&lt;&gt;"TBD"),"READY","TBD")</x:f>
        <x:v>TBD</x:v>
      </x:c>
      <x:c r="X25" s="93" t="str">
        <x:v>Confirm factory bundle vs B&amp;H virtual kit before pack data.</x:v>
      </x:c>
    </x:row>
    <x:row r="26">
      <x:c r="A26" s="51" t="str">
        <x:v>BND-MTG-120</x:v>
      </x:c>
      <x:c r="B26" s="51" t="str">
        <x:v>TBD</x:v>
      </x:c>
      <x:c r="C26" s="51" t="str">
        <x:v>TBD</x:v>
      </x:c>
      <x:c r="D26" s="51" t="str">
        <x:v>KIT</x:v>
      </x:c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51" t="str">
        <x:v>TBD</x:v>
      </x:c>
      <x:c r="R26" s="51" t="str">
        <x:v>TBD</x:v>
      </x:c>
      <x:c r="S26" s="51" t="str">
        <x:v>TBD</x:v>
      </x:c>
      <x:c r="T26" s="51" t="str">
        <x:v>FOB Destination</x:v>
      </x:c>
      <x:c r="U26" s="51" t="str">
        <x:v>Yes</x:v>
      </x:c>
      <x:c r="V26" s="51" t="str">
        <x:v>No</x:v>
      </x:c>
      <x:c r="W26" s="51" t="str">
        <x:f>IF(AND(C26&lt;&gt;"TBD",E26&lt;&gt;"",F26&lt;&gt;"",P26&lt;&gt;"",Q26&lt;&gt;"TBD",S26&lt;&gt;"TBD"),"READY","TBD")</x:f>
        <x:v>TBD</x:v>
      </x:c>
      <x:c r="X26" s="93" t="str">
        <x:v>Confirm factory bundle vs B&amp;H virtual kit before pack data.</x:v>
      </x:c>
    </x:row>
  </x:sheetData>
  <x:mergeCells>
    <x:mergeCell ref="A1:X1"/>
    <x:mergeCell ref="A2:X2"/>
  </x:mergeCells>
  <x:conditionalFormatting sqref="B6:C26">
    <x:cfRule type="containsText" dxfId="169" priority="1" operator="containsText" text="TBD"/>
    <x:cfRule type="containsText" dxfId="170" priority="2" operator="containsText" text="REVIEW"/>
    <x:cfRule type="containsText" dxfId="171" priority="3" operator="containsText" text="Hold"/>
    <x:cfRule type="containsText" dxfId="172" priority="4" operator="containsText" text="HOLD"/>
    <x:cfRule type="containsText" dxfId="173" priority="5" operator="containsText" text="FAIL"/>
    <x:cfRule type="containsText" dxfId="174" priority="6" operator="containsText" text="Not Accepted"/>
    <x:cfRule type="containsText" dxfId="175" priority="7" operator="containsText" text="N/A"/>
    <x:cfRule type="containsText" dxfId="176" priority="8" operator="containsText" text="Superseded"/>
    <x:cfRule type="containsText" dxfId="177" priority="9" operator="containsText" text="PASS"/>
    <x:cfRule type="containsText" dxfId="178" priority="10" operator="containsText" text="READY"/>
    <x:cfRule type="containsText" dxfId="179" priority="11" operator="containsText" text="Accepted"/>
    <x:cfRule type="containsText" dxfId="180" priority="12" operator="containsText" text="Confirmed"/>
  </x:conditionalFormatting>
  <x:conditionalFormatting sqref="Q6:S26">
    <x:cfRule type="containsText" dxfId="181" priority="13" operator="containsText" text="TBD"/>
    <x:cfRule type="containsText" dxfId="182" priority="14" operator="containsText" text="REVIEW"/>
    <x:cfRule type="containsText" dxfId="183" priority="15" operator="containsText" text="Hold"/>
    <x:cfRule type="containsText" dxfId="184" priority="16" operator="containsText" text="HOLD"/>
    <x:cfRule type="containsText" dxfId="185" priority="17" operator="containsText" text="FAIL"/>
    <x:cfRule type="containsText" dxfId="186" priority="18" operator="containsText" text="Not Accepted"/>
    <x:cfRule type="containsText" dxfId="187" priority="19" operator="containsText" text="N/A"/>
    <x:cfRule type="containsText" dxfId="188" priority="20" operator="containsText" text="Superseded"/>
    <x:cfRule type="containsText" dxfId="189" priority="21" operator="containsText" text="PASS"/>
    <x:cfRule type="containsText" dxfId="190" priority="22" operator="containsText" text="READY"/>
    <x:cfRule type="containsText" dxfId="191" priority="23" operator="containsText" text="Accepted"/>
    <x:cfRule type="containsText" dxfId="192" priority="24" operator="containsText" text="Confirmed"/>
  </x:conditionalFormatting>
  <x:conditionalFormatting sqref="U6:W26">
    <x:cfRule type="containsText" dxfId="193" priority="25" operator="containsText" text="TBD"/>
    <x:cfRule type="containsText" dxfId="194" priority="26" operator="containsText" text="REVIEW"/>
    <x:cfRule type="containsText" dxfId="195" priority="27" operator="containsText" text="Hold"/>
    <x:cfRule type="containsText" dxfId="196" priority="28" operator="containsText" text="HOLD"/>
    <x:cfRule type="containsText" dxfId="197" priority="29" operator="containsText" text="FAIL"/>
    <x:cfRule type="containsText" dxfId="198" priority="30" operator="containsText" text="Not Accepted"/>
    <x:cfRule type="containsText" dxfId="199" priority="31" operator="containsText" text="N/A"/>
    <x:cfRule type="containsText" dxfId="200" priority="32" operator="containsText" text="Superseded"/>
    <x:cfRule type="containsText" dxfId="201" priority="33" operator="containsText" text="PASS"/>
    <x:cfRule type="containsText" dxfId="202" priority="34" operator="containsText" text="READY"/>
    <x:cfRule type="containsText" dxfId="203" priority="35" operator="containsText" text="Accepted"/>
    <x:cfRule type="containsText" dxfId="204" priority="36" operator="containsText" text="Confirmed"/>
  </x:conditionalFormatting>
  <x:dataValidations count="5">
    <x:dataValidation type="list" sqref="B6:B26">
      <x:formula1>"Yes,No,TBD"</x:formula1>
    </x:dataValidation>
    <x:dataValidation type="list" sqref="Q6:Q26">
      <x:formula1>"Yes,No,TBD,N/A"</x:formula1>
    </x:dataValidation>
    <x:dataValidation type="list" sqref="S6:S26">
      <x:formula1>"Yes,No,TBD,N/A"</x:formula1>
    </x:dataValidation>
    <x:dataValidation type="list" sqref="U6:V26">
      <x:formula1>"Yes,No,TBD"</x:formula1>
    </x:dataValidation>
    <x:dataValidation type="decimal" operator="greaterThanOrEqual" sqref="E6:P2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e136a1ee2c4a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25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5" hidden="0" customWidth="1"/>
    <x:col min="14" max="14" width="28" hidden="0" customWidth="1"/>
    <x:col min="15" max="15" width="18" hidden="0" customWidth="1"/>
    <x:col min="16" max="16" width="54" hidden="0" customWidth="1"/>
  </x:cols>
  <x:sheetData>
    <x:row r="1" ht="30" customHeight="1">
      <x:c r="A1" s="3" t="str">
        <x:v>05 - Compliance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Agreement sections 9.4 and 9.5 require COO and classification data for products, software, and technology. Nothing is marked N/A without evidence.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5" ht="32" customHeight="1">
      <x:c r="A5" s="46" t="str">
        <x:v>Vendor_SKU</x:v>
      </x:c>
      <x:c r="B5" s="46" t="str">
        <x:v>Final_Assembly_COO</x:v>
      </x:c>
      <x:c r="C5" s="46" t="str">
        <x:v>Component_COO_Document</x:v>
      </x:c>
      <x:c r="D5" s="46" t="str">
        <x:v>HTSUS</x:v>
      </x:c>
      <x:c r="E5" s="46" t="str">
        <x:v>Schedule_B</x:v>
      </x:c>
      <x:c r="F5" s="46" t="str">
        <x:v>ECCN</x:v>
      </x:c>
      <x:c r="G5" s="46" t="str">
        <x:v>USML_Status</x:v>
      </x:c>
      <x:c r="H5" s="46" t="str">
        <x:v>FCC_ID</x:v>
      </x:c>
      <x:c r="I5" s="46" t="str">
        <x:v>Bluetooth_QDID</x:v>
      </x:c>
      <x:c r="J5" s="46" t="str">
        <x:v>UL_ETL_Status</x:v>
      </x:c>
      <x:c r="K5" s="46" t="str">
        <x:v>Prop65_Status</x:v>
      </x:c>
      <x:c r="L5" s="46" t="str">
        <x:v>UN38_3_Status</x:v>
      </x:c>
      <x:c r="M5" s="46" t="str">
        <x:v>SDS_Status</x:v>
      </x:c>
      <x:c r="N5" s="46" t="str">
        <x:v>Compliance_Evidence</x:v>
      </x:c>
      <x:c r="O5" s="46" t="str">
        <x:v>Compliance_Status</x:v>
      </x:c>
      <x:c r="P5" s="46" t="str">
        <x:v>Open_Issues</x:v>
      </x:c>
    </x:row>
    <x:row r="6">
      <x:c r="A6" s="50" t="str">
        <x:v>PP-100</x:v>
      </x:c>
      <x:c r="B6" s="50" t="str">
        <x:v>TBD</x:v>
      </x:c>
      <x:c r="C6" s="50" t="str">
        <x:v>TBD</x:v>
      </x:c>
      <x:c r="D6" s="50" t="str">
        <x:v>TBD</x:v>
      </x:c>
      <x:c r="E6" s="50" t="str">
        <x:v>TBD</x:v>
      </x:c>
      <x:c r="F6" s="50" t="str">
        <x:v>TBD</x:v>
      </x:c>
      <x:c r="G6" s="50" t="str">
        <x:v>TBD</x:v>
      </x:c>
      <x:c r="H6" s="50" t="str">
        <x:v>TBD</x:v>
      </x:c>
      <x:c r="I6" s="50" t="str">
        <x:v>TBD</x:v>
      </x:c>
      <x:c r="J6" s="50" t="str">
        <x:v>TBD</x:v>
      </x:c>
      <x:c r="K6" s="50" t="str">
        <x:v>TBD</x:v>
      </x:c>
      <x:c r="L6" s="50" t="str">
        <x:v>TBD</x:v>
      </x:c>
      <x:c r="M6" s="50" t="str">
        <x:v>TBD</x:v>
      </x:c>
      <x:c r="N6" s="50" t="str">
        <x:v>TBD</x:v>
      </x:c>
      <x:c r="O6" s="50" t="str">
        <x:f>IF(COUNTIF(B6:N6,"TBD")&gt;0,"TBD","READY")</x:f>
        <x:v>TBD</x:v>
      </x:c>
      <x:c r="P6" s="92" t="str">
        <x:v>Provide COO/components, HTSUS, Schedule B, ECCN and applicable product certifications.</x:v>
      </x:c>
    </x:row>
    <x:row r="7">
      <x:c r="A7" s="51" t="str">
        <x:v>PP-110</x:v>
      </x:c>
      <x:c r="B7" s="51" t="str">
        <x:v>TBD</x:v>
      </x:c>
      <x:c r="C7" s="51" t="str">
        <x:v>TBD</x:v>
      </x:c>
      <x:c r="D7" s="51" t="str">
        <x:v>TBD</x:v>
      </x:c>
      <x:c r="E7" s="51" t="str">
        <x:v>TBD</x:v>
      </x:c>
      <x:c r="F7" s="51" t="str">
        <x:v>TBD</x:v>
      </x:c>
      <x:c r="G7" s="51" t="str">
        <x:v>TBD</x:v>
      </x:c>
      <x:c r="H7" s="51" t="str">
        <x:v>TBD</x:v>
      </x:c>
      <x:c r="I7" s="51" t="str">
        <x:v>TBD</x:v>
      </x:c>
      <x:c r="J7" s="51" t="str">
        <x:v>TBD</x:v>
      </x:c>
      <x:c r="K7" s="51" t="str">
        <x:v>TBD</x:v>
      </x:c>
      <x:c r="L7" s="51" t="str">
        <x:v>TBD</x:v>
      </x:c>
      <x:c r="M7" s="51" t="str">
        <x:v>TBD</x:v>
      </x:c>
      <x:c r="N7" s="51" t="str">
        <x:v>TBD</x:v>
      </x:c>
      <x:c r="O7" s="51" t="str">
        <x:f>IF(COUNTIF(B7:N7,"TBD")&gt;0,"TBD","READY")</x:f>
        <x:v>TBD</x:v>
      </x:c>
      <x:c r="P7" s="93" t="str">
        <x:v>Provide COO/components, HTSUS, Schedule B, ECCN and applicable product certifications.</x:v>
      </x:c>
    </x:row>
    <x:row r="8">
      <x:c r="A8" s="51" t="str">
        <x:v>PP-120</x:v>
      </x:c>
      <x:c r="B8" s="51" t="str">
        <x:v>TBD</x:v>
      </x:c>
      <x:c r="C8" s="51" t="str">
        <x:v>TBD</x:v>
      </x:c>
      <x:c r="D8" s="51" t="str">
        <x:v>TBD</x:v>
      </x:c>
      <x:c r="E8" s="51" t="str">
        <x:v>TBD</x:v>
      </x:c>
      <x:c r="F8" s="51" t="str">
        <x:v>TBD</x:v>
      </x:c>
      <x:c r="G8" s="51" t="str">
        <x:v>TBD</x:v>
      </x:c>
      <x:c r="H8" s="51" t="str">
        <x:v>TBD</x:v>
      </x:c>
      <x:c r="I8" s="51" t="str">
        <x:v>TBD</x:v>
      </x:c>
      <x:c r="J8" s="51" t="str">
        <x:v>TBD</x:v>
      </x:c>
      <x:c r="K8" s="51" t="str">
        <x:v>TBD</x:v>
      </x:c>
      <x:c r="L8" s="51" t="str">
        <x:v>TBD</x:v>
      </x:c>
      <x:c r="M8" s="51" t="str">
        <x:v>TBD</x:v>
      </x:c>
      <x:c r="N8" s="51" t="str">
        <x:v>TBD</x:v>
      </x:c>
      <x:c r="O8" s="51" t="str">
        <x:f>IF(COUNTIF(B8:N8,"TBD")&gt;0,"TBD","READY")</x:f>
        <x:v>TBD</x:v>
      </x:c>
      <x:c r="P8" s="93" t="str">
        <x:v>Provide COO/components, HTSUS, Schedule B, ECCN and applicable product certifications.</x:v>
      </x:c>
    </x:row>
    <x:row r="9">
      <x:c r="A9" s="51" t="str">
        <x:v>GW-210</x:v>
      </x:c>
      <x:c r="B9" s="51" t="str">
        <x:v>TBD</x:v>
      </x:c>
      <x:c r="C9" s="51" t="str">
        <x:v>TBD</x:v>
      </x:c>
      <x:c r="D9" s="51" t="str">
        <x:v>TBD</x:v>
      </x:c>
      <x:c r="E9" s="51" t="str">
        <x:v>TBD</x:v>
      </x:c>
      <x:c r="F9" s="51" t="str">
        <x:v>TBD</x:v>
      </x:c>
      <x:c r="G9" s="51" t="str">
        <x:v>TBD</x:v>
      </x:c>
      <x:c r="H9" s="51" t="str">
        <x:v>TBD</x:v>
      </x:c>
      <x:c r="I9" s="51" t="str">
        <x:v>TBD</x:v>
      </x:c>
      <x:c r="J9" s="51" t="str">
        <x:v>TBD</x:v>
      </x:c>
      <x:c r="K9" s="51" t="str">
        <x:v>TBD</x:v>
      </x:c>
      <x:c r="L9" s="51" t="str">
        <x:v>TBD</x:v>
      </x:c>
      <x:c r="M9" s="51" t="str">
        <x:v>TBD</x:v>
      </x:c>
      <x:c r="N9" s="51" t="str">
        <x:v>TBD</x:v>
      </x:c>
      <x:c r="O9" s="51" t="str">
        <x:f>IF(COUNTIF(B9:N9,"TBD")&gt;0,"TBD","READY")</x:f>
        <x:v>TBD</x:v>
      </x:c>
      <x:c r="P9" s="93" t="str">
        <x:v>Provide COO/components, HTSUS, Schedule B, ECCN and applicable product certifications.</x:v>
      </x:c>
    </x:row>
    <x:row r="10">
      <x:c r="A10" s="51" t="str">
        <x:v>GW-400</x:v>
      </x:c>
      <x:c r="B10" s="51" t="str">
        <x:v>TBD</x:v>
      </x:c>
      <x:c r="C10" s="51" t="str">
        <x:v>TBD</x:v>
      </x:c>
      <x:c r="D10" s="51" t="str">
        <x:v>TBD</x:v>
      </x:c>
      <x:c r="E10" s="51" t="str">
        <x:v>TBD</x:v>
      </x:c>
      <x:c r="F10" s="51" t="str">
        <x:v>TBD</x:v>
      </x:c>
      <x:c r="G10" s="51" t="str">
        <x:v>TBD</x:v>
      </x:c>
      <x:c r="H10" s="51" t="str">
        <x:v>TBD</x:v>
      </x:c>
      <x:c r="I10" s="51" t="str">
        <x:v>TBD</x:v>
      </x:c>
      <x:c r="J10" s="51" t="str">
        <x:v>TBD</x:v>
      </x:c>
      <x:c r="K10" s="51" t="str">
        <x:v>TBD</x:v>
      </x:c>
      <x:c r="L10" s="51" t="str">
        <x:v>TBD</x:v>
      </x:c>
      <x:c r="M10" s="51" t="str">
        <x:v>TBD</x:v>
      </x:c>
      <x:c r="N10" s="51" t="str">
        <x:v>TBD</x:v>
      </x:c>
      <x:c r="O10" s="51" t="str">
        <x:f>IF(COUNTIF(B10:N10,"TBD")&gt;0,"TBD","READY")</x:f>
        <x:v>TBD</x:v>
      </x:c>
      <x:c r="P10" s="93" t="str">
        <x:v>Provide COO/components, HTSUS, Schedule B, ECCN and applicable product certifications.</x:v>
      </x:c>
    </x:row>
    <x:row r="11">
      <x:c r="A11" s="51" t="str">
        <x:v>HEM-100</x:v>
      </x:c>
      <x:c r="B11" s="51" t="str">
        <x:v>TBD</x:v>
      </x:c>
      <x:c r="C11" s="51" t="str">
        <x:v>TBD</x:v>
      </x:c>
      <x:c r="D11" s="51" t="str">
        <x:v>TBD</x:v>
      </x:c>
      <x:c r="E11" s="51" t="str">
        <x:v>TBD</x:v>
      </x:c>
      <x:c r="F11" s="51" t="str">
        <x:v>TBD</x:v>
      </x:c>
      <x:c r="G11" s="51" t="str">
        <x:v>TBD</x:v>
      </x:c>
      <x:c r="H11" s="51" t="str">
        <x:v>TBD</x:v>
      </x:c>
      <x:c r="I11" s="51" t="str">
        <x:v>TBD</x:v>
      </x:c>
      <x:c r="J11" s="51" t="str">
        <x:v>TBD</x:v>
      </x:c>
      <x:c r="K11" s="51" t="str">
        <x:v>TBD</x:v>
      </x:c>
      <x:c r="L11" s="51" t="str">
        <x:v>TBD</x:v>
      </x:c>
      <x:c r="M11" s="51" t="str">
        <x:v>TBD</x:v>
      </x:c>
      <x:c r="N11" s="51" t="str">
        <x:v>TBD</x:v>
      </x:c>
      <x:c r="O11" s="51" t="str">
        <x:f>IF(COUNTIF(B11:N11,"TBD")&gt;0,"TBD","READY")</x:f>
        <x:v>TBD</x:v>
      </x:c>
      <x:c r="P11" s="93" t="str">
        <x:v>Provide COO/components, HTSUS, Schedule B, ECCN and applicable product certifications.</x:v>
      </x:c>
    </x:row>
    <x:row r="12">
      <x:c r="A12" s="51" t="str">
        <x:v>SW-OPS</x:v>
      </x:c>
      <x:c r="B12" s="51" t="str">
        <x:v>TBD</x:v>
      </x:c>
      <x:c r="C12" s="51" t="str">
        <x:v>TBD</x:v>
      </x:c>
      <x:c r="D12" s="51" t="str">
        <x:v>TBD</x:v>
      </x:c>
      <x:c r="E12" s="51" t="str">
        <x:v>TBD</x:v>
      </x:c>
      <x:c r="F12" s="51" t="str">
        <x:v>TBD</x:v>
      </x:c>
      <x:c r="G12" s="51" t="str">
        <x:v>TBD</x:v>
      </x:c>
      <x:c r="H12" s="51" t="str">
        <x:v>TBD</x:v>
      </x:c>
      <x:c r="I12" s="51" t="str">
        <x:v>TBD</x:v>
      </x:c>
      <x:c r="J12" s="51" t="str">
        <x:v>TBD</x:v>
      </x:c>
      <x:c r="K12" s="51" t="str">
        <x:v>TBD</x:v>
      </x:c>
      <x:c r="L12" s="51" t="str">
        <x:v>TBD</x:v>
      </x:c>
      <x:c r="M12" s="51" t="str">
        <x:v>TBD</x:v>
      </x:c>
      <x:c r="N12" s="51" t="str">
        <x:v>TBD</x:v>
      </x:c>
      <x:c r="O12" s="51" t="str">
        <x:f>IF(COUNTIF(B12:N12,"TBD")&gt;0,"TBD","READY")</x:f>
        <x:v>TBD</x:v>
      </x:c>
      <x:c r="P12" s="93" t="str">
        <x:v>ECCN/technology classification is required; physical customs fields may become N/A only after ESD is confirmed.</x:v>
      </x:c>
    </x:row>
    <x:row r="13">
      <x:c r="A13" s="51" t="str">
        <x:v>SW-CE</x:v>
      </x:c>
      <x:c r="B13" s="51" t="str">
        <x:v>TBD</x:v>
      </x:c>
      <x:c r="C13" s="51" t="str">
        <x:v>TBD</x:v>
      </x:c>
      <x:c r="D13" s="51" t="str">
        <x:v>TBD</x:v>
      </x:c>
      <x:c r="E13" s="51" t="str">
        <x:v>TBD</x:v>
      </x:c>
      <x:c r="F13" s="51" t="str">
        <x:v>TBD</x:v>
      </x:c>
      <x:c r="G13" s="51" t="str">
        <x:v>TBD</x:v>
      </x:c>
      <x:c r="H13" s="51" t="str">
        <x:v>TBD</x:v>
      </x:c>
      <x:c r="I13" s="51" t="str">
        <x:v>TBD</x:v>
      </x:c>
      <x:c r="J13" s="51" t="str">
        <x:v>TBD</x:v>
      </x:c>
      <x:c r="K13" s="51" t="str">
        <x:v>TBD</x:v>
      </x:c>
      <x:c r="L13" s="51" t="str">
        <x:v>TBD</x:v>
      </x:c>
      <x:c r="M13" s="51" t="str">
        <x:v>TBD</x:v>
      </x:c>
      <x:c r="N13" s="51" t="str">
        <x:v>TBD</x:v>
      </x:c>
      <x:c r="O13" s="51" t="str">
        <x:f>IF(COUNTIF(B13:N13,"TBD")&gt;0,"TBD","READY")</x:f>
        <x:v>TBD</x:v>
      </x:c>
      <x:c r="P13" s="93" t="str">
        <x:v>ECCN/technology classification is required; physical customs fields may become N/A only after ESD is confirmed.</x:v>
      </x:c>
    </x:row>
    <x:row r="14">
      <x:c r="A14" s="51" t="str">
        <x:v>SW-ZOOM</x:v>
      </x:c>
      <x:c r="B14" s="51" t="str">
        <x:v>TBD</x:v>
      </x:c>
      <x:c r="C14" s="51" t="str">
        <x:v>TBD</x:v>
      </x:c>
      <x:c r="D14" s="51" t="str">
        <x:v>TBD</x:v>
      </x:c>
      <x:c r="E14" s="51" t="str">
        <x:v>TBD</x:v>
      </x:c>
      <x:c r="F14" s="51" t="str">
        <x:v>TBD</x:v>
      </x:c>
      <x:c r="G14" s="51" t="str">
        <x:v>TBD</x:v>
      </x:c>
      <x:c r="H14" s="51" t="str">
        <x:v>TBD</x:v>
      </x:c>
      <x:c r="I14" s="51" t="str">
        <x:v>TBD</x:v>
      </x:c>
      <x:c r="J14" s="51" t="str">
        <x:v>TBD</x:v>
      </x:c>
      <x:c r="K14" s="51" t="str">
        <x:v>TBD</x:v>
      </x:c>
      <x:c r="L14" s="51" t="str">
        <x:v>TBD</x:v>
      </x:c>
      <x:c r="M14" s="51" t="str">
        <x:v>TBD</x:v>
      </x:c>
      <x:c r="N14" s="51" t="str">
        <x:v>TBD</x:v>
      </x:c>
      <x:c r="O14" s="51" t="str">
        <x:f>IF(COUNTIF(B14:N14,"TBD")&gt;0,"TBD","READY")</x:f>
        <x:v>TBD</x:v>
      </x:c>
      <x:c r="P14" s="93" t="str">
        <x:v>ECCN/technology classification is required; physical customs fields may become N/A only after ESD is confirmed.</x:v>
      </x:c>
    </x:row>
    <x:row r="15">
      <x:c r="A15" s="51" t="str">
        <x:v>SW-HOME</x:v>
      </x:c>
      <x:c r="B15" s="51" t="str">
        <x:v>TBD</x:v>
      </x:c>
      <x:c r="C15" s="51" t="str">
        <x:v>TBD</x:v>
      </x:c>
      <x:c r="D15" s="51" t="str">
        <x:v>TBD</x:v>
      </x:c>
      <x:c r="E15" s="51" t="str">
        <x:v>TBD</x:v>
      </x:c>
      <x:c r="F15" s="51" t="str">
        <x:v>TBD</x:v>
      </x:c>
      <x:c r="G15" s="51" t="str">
        <x:v>TBD</x:v>
      </x:c>
      <x:c r="H15" s="51" t="str">
        <x:v>TBD</x:v>
      </x:c>
      <x:c r="I15" s="51" t="str">
        <x:v>TBD</x:v>
      </x:c>
      <x:c r="J15" s="51" t="str">
        <x:v>TBD</x:v>
      </x:c>
      <x:c r="K15" s="51" t="str">
        <x:v>TBD</x:v>
      </x:c>
      <x:c r="L15" s="51" t="str">
        <x:v>TBD</x:v>
      </x:c>
      <x:c r="M15" s="51" t="str">
        <x:v>TBD</x:v>
      </x:c>
      <x:c r="N15" s="51" t="str">
        <x:v>TBD</x:v>
      </x:c>
      <x:c r="O15" s="51" t="str">
        <x:f>IF(COUNTIF(B15:N15,"TBD")&gt;0,"TBD","READY")</x:f>
        <x:v>TBD</x:v>
      </x:c>
      <x:c r="P15" s="93" t="str">
        <x:v>ECCN/technology classification is required; physical customs fields may become N/A only after ESD is confirmed.</x:v>
      </x:c>
    </x:row>
    <x:row r="16">
      <x:c r="A16" s="51" t="str">
        <x:v>BND-GW-100</x:v>
      </x:c>
      <x:c r="B16" s="51" t="str">
        <x:v>TBD</x:v>
      </x:c>
      <x:c r="C16" s="51" t="str">
        <x:v>TBD</x:v>
      </x:c>
      <x:c r="D16" s="51" t="str">
        <x:v>TBD</x:v>
      </x:c>
      <x:c r="E16" s="51" t="str">
        <x:v>TBD</x:v>
      </x:c>
      <x:c r="F16" s="51" t="str">
        <x:v>TBD</x:v>
      </x:c>
      <x:c r="G16" s="51" t="str">
        <x:v>TBD</x:v>
      </x:c>
      <x:c r="H16" s="51" t="str">
        <x:v>TBD</x:v>
      </x:c>
      <x:c r="I16" s="51" t="str">
        <x:v>TBD</x:v>
      </x:c>
      <x:c r="J16" s="51" t="str">
        <x:v>TBD</x:v>
      </x:c>
      <x:c r="K16" s="51" t="str">
        <x:v>TBD</x:v>
      </x:c>
      <x:c r="L16" s="51" t="str">
        <x:v>TBD</x:v>
      </x:c>
      <x:c r="M16" s="51" t="str">
        <x:v>TBD</x:v>
      </x:c>
      <x:c r="N16" s="51" t="str">
        <x:v>TBD</x:v>
      </x:c>
      <x:c r="O16" s="51" t="str">
        <x:f>IF(COUNTIF(B16:N16,"TBD")&gt;0,"TBD","READY")</x:f>
        <x:v>TBD</x:v>
      </x:c>
      <x:c r="P16" s="93" t="str">
        <x:v>Classification depends on factory kit vs virtual kit and component treatment.</x:v>
      </x:c>
    </x:row>
    <x:row r="17">
      <x:c r="A17" s="51" t="str">
        <x:v>BND-GW-110</x:v>
      </x:c>
      <x:c r="B17" s="51" t="str">
        <x:v>TBD</x:v>
      </x:c>
      <x:c r="C17" s="51" t="str">
        <x:v>TBD</x:v>
      </x:c>
      <x:c r="D17" s="51" t="str">
        <x:v>TBD</x:v>
      </x:c>
      <x:c r="E17" s="51" t="str">
        <x:v>TBD</x:v>
      </x:c>
      <x:c r="F17" s="51" t="str">
        <x:v>TBD</x:v>
      </x:c>
      <x:c r="G17" s="51" t="str">
        <x:v>TBD</x:v>
      </x:c>
      <x:c r="H17" s="51" t="str">
        <x:v>TBD</x:v>
      </x:c>
      <x:c r="I17" s="51" t="str">
        <x:v>TBD</x:v>
      </x:c>
      <x:c r="J17" s="51" t="str">
        <x:v>TBD</x:v>
      </x:c>
      <x:c r="K17" s="51" t="str">
        <x:v>TBD</x:v>
      </x:c>
      <x:c r="L17" s="51" t="str">
        <x:v>TBD</x:v>
      </x:c>
      <x:c r="M17" s="51" t="str">
        <x:v>TBD</x:v>
      </x:c>
      <x:c r="N17" s="51" t="str">
        <x:v>TBD</x:v>
      </x:c>
      <x:c r="O17" s="51" t="str">
        <x:f>IF(COUNTIF(B17:N17,"TBD")&gt;0,"TBD","READY")</x:f>
        <x:v>TBD</x:v>
      </x:c>
      <x:c r="P17" s="93" t="str">
        <x:v>Classification depends on factory kit vs virtual kit and component treatment.</x:v>
      </x:c>
    </x:row>
    <x:row r="18">
      <x:c r="A18" s="51" t="str">
        <x:v>BND-GW-120</x:v>
      </x:c>
      <x:c r="B18" s="51" t="str">
        <x:v>TBD</x:v>
      </x:c>
      <x:c r="C18" s="51" t="str">
        <x:v>TBD</x:v>
      </x:c>
      <x:c r="D18" s="51" t="str">
        <x:v>TBD</x:v>
      </x:c>
      <x:c r="E18" s="51" t="str">
        <x:v>TBD</x:v>
      </x:c>
      <x:c r="F18" s="51" t="str">
        <x:v>TBD</x:v>
      </x:c>
      <x:c r="G18" s="51" t="str">
        <x:v>TBD</x:v>
      </x:c>
      <x:c r="H18" s="51" t="str">
        <x:v>TBD</x:v>
      </x:c>
      <x:c r="I18" s="51" t="str">
        <x:v>TBD</x:v>
      </x:c>
      <x:c r="J18" s="51" t="str">
        <x:v>TBD</x:v>
      </x:c>
      <x:c r="K18" s="51" t="str">
        <x:v>TBD</x:v>
      </x:c>
      <x:c r="L18" s="51" t="str">
        <x:v>TBD</x:v>
      </x:c>
      <x:c r="M18" s="51" t="str">
        <x:v>TBD</x:v>
      </x:c>
      <x:c r="N18" s="51" t="str">
        <x:v>TBD</x:v>
      </x:c>
      <x:c r="O18" s="51" t="str">
        <x:f>IF(COUNTIF(B18:N18,"TBD")&gt;0,"TBD","READY")</x:f>
        <x:v>TBD</x:v>
      </x:c>
      <x:c r="P18" s="93" t="str">
        <x:v>Classification depends on factory kit vs virtual kit and component treatment.</x:v>
      </x:c>
    </x:row>
    <x:row r="19">
      <x:c r="A19" s="51" t="str">
        <x:v>BND-ZOOM-100</x:v>
      </x:c>
      <x:c r="B19" s="51" t="str">
        <x:v>TBD</x:v>
      </x:c>
      <x:c r="C19" s="51" t="str">
        <x:v>TBD</x:v>
      </x:c>
      <x:c r="D19" s="51" t="str">
        <x:v>TBD</x:v>
      </x:c>
      <x:c r="E19" s="51" t="str">
        <x:v>TBD</x:v>
      </x:c>
      <x:c r="F19" s="51" t="str">
        <x:v>TBD</x:v>
      </x:c>
      <x:c r="G19" s="51" t="str">
        <x:v>TBD</x:v>
      </x:c>
      <x:c r="H19" s="51" t="str">
        <x:v>TBD</x:v>
      </x:c>
      <x:c r="I19" s="51" t="str">
        <x:v>TBD</x:v>
      </x:c>
      <x:c r="J19" s="51" t="str">
        <x:v>TBD</x:v>
      </x:c>
      <x:c r="K19" s="51" t="str">
        <x:v>TBD</x:v>
      </x:c>
      <x:c r="L19" s="51" t="str">
        <x:v>TBD</x:v>
      </x:c>
      <x:c r="M19" s="51" t="str">
        <x:v>TBD</x:v>
      </x:c>
      <x:c r="N19" s="51" t="str">
        <x:v>TBD</x:v>
      </x:c>
      <x:c r="O19" s="51" t="str">
        <x:f>IF(COUNTIF(B19:N19,"TBD")&gt;0,"TBD","READY")</x:f>
        <x:v>TBD</x:v>
      </x:c>
      <x:c r="P19" s="93" t="str">
        <x:v>Classification depends on factory kit vs virtual kit and component treatment.</x:v>
      </x:c>
    </x:row>
    <x:row r="20">
      <x:c r="A20" s="51" t="str">
        <x:v>BND-ZOOM-110</x:v>
      </x:c>
      <x:c r="B20" s="51" t="str">
        <x:v>TBD</x:v>
      </x:c>
      <x:c r="C20" s="51" t="str">
        <x:v>TBD</x:v>
      </x:c>
      <x:c r="D20" s="51" t="str">
        <x:v>TBD</x:v>
      </x:c>
      <x:c r="E20" s="51" t="str">
        <x:v>TBD</x:v>
      </x:c>
      <x:c r="F20" s="51" t="str">
        <x:v>TBD</x:v>
      </x:c>
      <x:c r="G20" s="51" t="str">
        <x:v>TBD</x:v>
      </x:c>
      <x:c r="H20" s="51" t="str">
        <x:v>TBD</x:v>
      </x:c>
      <x:c r="I20" s="51" t="str">
        <x:v>TBD</x:v>
      </x:c>
      <x:c r="J20" s="51" t="str">
        <x:v>TBD</x:v>
      </x:c>
      <x:c r="K20" s="51" t="str">
        <x:v>TBD</x:v>
      </x:c>
      <x:c r="L20" s="51" t="str">
        <x:v>TBD</x:v>
      </x:c>
      <x:c r="M20" s="51" t="str">
        <x:v>TBD</x:v>
      </x:c>
      <x:c r="N20" s="51" t="str">
        <x:v>TBD</x:v>
      </x:c>
      <x:c r="O20" s="51" t="str">
        <x:f>IF(COUNTIF(B20:N20,"TBD")&gt;0,"TBD","READY")</x:f>
        <x:v>TBD</x:v>
      </x:c>
      <x:c r="P20" s="93" t="str">
        <x:v>Classification depends on factory kit vs virtual kit and component treatment.</x:v>
      </x:c>
    </x:row>
    <x:row r="21">
      <x:c r="A21" s="51" t="str">
        <x:v>BND-ZOOM-120</x:v>
      </x:c>
      <x:c r="B21" s="51" t="str">
        <x:v>TBD</x:v>
      </x:c>
      <x:c r="C21" s="51" t="str">
        <x:v>TBD</x:v>
      </x:c>
      <x:c r="D21" s="51" t="str">
        <x:v>TBD</x:v>
      </x:c>
      <x:c r="E21" s="51" t="str">
        <x:v>TBD</x:v>
      </x:c>
      <x:c r="F21" s="51" t="str">
        <x:v>TBD</x:v>
      </x:c>
      <x:c r="G21" s="51" t="str">
        <x:v>TBD</x:v>
      </x:c>
      <x:c r="H21" s="51" t="str">
        <x:v>TBD</x:v>
      </x:c>
      <x:c r="I21" s="51" t="str">
        <x:v>TBD</x:v>
      </x:c>
      <x:c r="J21" s="51" t="str">
        <x:v>TBD</x:v>
      </x:c>
      <x:c r="K21" s="51" t="str">
        <x:v>TBD</x:v>
      </x:c>
      <x:c r="L21" s="51" t="str">
        <x:v>TBD</x:v>
      </x:c>
      <x:c r="M21" s="51" t="str">
        <x:v>TBD</x:v>
      </x:c>
      <x:c r="N21" s="51" t="str">
        <x:v>TBD</x:v>
      </x:c>
      <x:c r="O21" s="51" t="str">
        <x:f>IF(COUNTIF(B21:N21,"TBD")&gt;0,"TBD","READY")</x:f>
        <x:v>TBD</x:v>
      </x:c>
      <x:c r="P21" s="93" t="str">
        <x:v>Classification depends on factory kit vs virtual kit and component treatment.</x:v>
      </x:c>
    </x:row>
    <x:row r="22">
      <x:c r="A22" s="51" t="str">
        <x:v>BND-OPS-100</x:v>
      </x:c>
      <x:c r="B22" s="51" t="str">
        <x:v>TBD</x:v>
      </x:c>
      <x:c r="C22" s="51" t="str">
        <x:v>TBD</x:v>
      </x:c>
      <x:c r="D22" s="51" t="str">
        <x:v>TBD</x:v>
      </x:c>
      <x:c r="E22" s="51" t="str">
        <x:v>TBD</x:v>
      </x:c>
      <x:c r="F22" s="51" t="str">
        <x:v>TBD</x:v>
      </x:c>
      <x:c r="G22" s="51" t="str">
        <x:v>TBD</x:v>
      </x:c>
      <x:c r="H22" s="51" t="str">
        <x:v>TBD</x:v>
      </x:c>
      <x:c r="I22" s="51" t="str">
        <x:v>TBD</x:v>
      </x:c>
      <x:c r="J22" s="51" t="str">
        <x:v>TBD</x:v>
      </x:c>
      <x:c r="K22" s="51" t="str">
        <x:v>TBD</x:v>
      </x:c>
      <x:c r="L22" s="51" t="str">
        <x:v>TBD</x:v>
      </x:c>
      <x:c r="M22" s="51" t="str">
        <x:v>TBD</x:v>
      </x:c>
      <x:c r="N22" s="51" t="str">
        <x:v>TBD</x:v>
      </x:c>
      <x:c r="O22" s="51" t="str">
        <x:f>IF(COUNTIF(B22:N22,"TBD")&gt;0,"TBD","READY")</x:f>
        <x:v>TBD</x:v>
      </x:c>
      <x:c r="P22" s="93" t="str">
        <x:v>Classification depends on factory kit vs virtual kit and component treatment.</x:v>
      </x:c>
    </x:row>
    <x:row r="23">
      <x:c r="A23" s="51" t="str">
        <x:v>BND-OPS-120</x:v>
      </x:c>
      <x:c r="B23" s="51" t="str">
        <x:v>TBD</x:v>
      </x:c>
      <x:c r="C23" s="51" t="str">
        <x:v>TBD</x:v>
      </x:c>
      <x:c r="D23" s="51" t="str">
        <x:v>TBD</x:v>
      </x:c>
      <x:c r="E23" s="51" t="str">
        <x:v>TBD</x:v>
      </x:c>
      <x:c r="F23" s="51" t="str">
        <x:v>TBD</x:v>
      </x:c>
      <x:c r="G23" s="51" t="str">
        <x:v>TBD</x:v>
      </x:c>
      <x:c r="H23" s="51" t="str">
        <x:v>TBD</x:v>
      </x:c>
      <x:c r="I23" s="51" t="str">
        <x:v>TBD</x:v>
      </x:c>
      <x:c r="J23" s="51" t="str">
        <x:v>TBD</x:v>
      </x:c>
      <x:c r="K23" s="51" t="str">
        <x:v>TBD</x:v>
      </x:c>
      <x:c r="L23" s="51" t="str">
        <x:v>TBD</x:v>
      </x:c>
      <x:c r="M23" s="51" t="str">
        <x:v>TBD</x:v>
      </x:c>
      <x:c r="N23" s="51" t="str">
        <x:v>TBD</x:v>
      </x:c>
      <x:c r="O23" s="51" t="str">
        <x:f>IF(COUNTIF(B23:N23,"TBD")&gt;0,"TBD","READY")</x:f>
        <x:v>TBD</x:v>
      </x:c>
      <x:c r="P23" s="93" t="str">
        <x:v>Classification depends on factory kit vs virtual kit and component treatment.</x:v>
      </x:c>
    </x:row>
    <x:row r="24">
      <x:c r="A24" s="51" t="str">
        <x:v>BND-MTG-100</x:v>
      </x:c>
      <x:c r="B24" s="51" t="str">
        <x:v>TBD</x:v>
      </x:c>
      <x:c r="C24" s="51" t="str">
        <x:v>TBD</x:v>
      </x:c>
      <x:c r="D24" s="51" t="str">
        <x:v>TBD</x:v>
      </x:c>
      <x:c r="E24" s="51" t="str">
        <x:v>TBD</x:v>
      </x:c>
      <x:c r="F24" s="51" t="str">
        <x:v>TBD</x:v>
      </x:c>
      <x:c r="G24" s="51" t="str">
        <x:v>TBD</x:v>
      </x:c>
      <x:c r="H24" s="51" t="str">
        <x:v>TBD</x:v>
      </x:c>
      <x:c r="I24" s="51" t="str">
        <x:v>TBD</x:v>
      </x:c>
      <x:c r="J24" s="51" t="str">
        <x:v>TBD</x:v>
      </x:c>
      <x:c r="K24" s="51" t="str">
        <x:v>TBD</x:v>
      </x:c>
      <x:c r="L24" s="51" t="str">
        <x:v>TBD</x:v>
      </x:c>
      <x:c r="M24" s="51" t="str">
        <x:v>TBD</x:v>
      </x:c>
      <x:c r="N24" s="51" t="str">
        <x:v>TBD</x:v>
      </x:c>
      <x:c r="O24" s="51" t="str">
        <x:f>IF(COUNTIF(B24:N24,"TBD")&gt;0,"TBD","READY")</x:f>
        <x:v>TBD</x:v>
      </x:c>
      <x:c r="P24" s="93" t="str">
        <x:v>Classification depends on factory kit vs virtual kit and component treatment.</x:v>
      </x:c>
    </x:row>
    <x:row r="25">
      <x:c r="A25" s="51" t="str">
        <x:v>BND-MTG-110</x:v>
      </x:c>
      <x:c r="B25" s="51" t="str">
        <x:v>TBD</x:v>
      </x:c>
      <x:c r="C25" s="51" t="str">
        <x:v>TBD</x:v>
      </x:c>
      <x:c r="D25" s="51" t="str">
        <x:v>TBD</x:v>
      </x:c>
      <x:c r="E25" s="51" t="str">
        <x:v>TBD</x:v>
      </x:c>
      <x:c r="F25" s="51" t="str">
        <x:v>TBD</x:v>
      </x:c>
      <x:c r="G25" s="51" t="str">
        <x:v>TBD</x:v>
      </x:c>
      <x:c r="H25" s="51" t="str">
        <x:v>TBD</x:v>
      </x:c>
      <x:c r="I25" s="51" t="str">
        <x:v>TBD</x:v>
      </x:c>
      <x:c r="J25" s="51" t="str">
        <x:v>TBD</x:v>
      </x:c>
      <x:c r="K25" s="51" t="str">
        <x:v>TBD</x:v>
      </x:c>
      <x:c r="L25" s="51" t="str">
        <x:v>TBD</x:v>
      </x:c>
      <x:c r="M25" s="51" t="str">
        <x:v>TBD</x:v>
      </x:c>
      <x:c r="N25" s="51" t="str">
        <x:v>TBD</x:v>
      </x:c>
      <x:c r="O25" s="51" t="str">
        <x:f>IF(COUNTIF(B25:N25,"TBD")&gt;0,"TBD","READY")</x:f>
        <x:v>TBD</x:v>
      </x:c>
      <x:c r="P25" s="93" t="str">
        <x:v>Classification depends on factory kit vs virtual kit and component treatment.</x:v>
      </x:c>
    </x:row>
    <x:row r="26">
      <x:c r="A26" s="51" t="str">
        <x:v>BND-MTG-120</x:v>
      </x:c>
      <x:c r="B26" s="51" t="str">
        <x:v>TBD</x:v>
      </x:c>
      <x:c r="C26" s="51" t="str">
        <x:v>TBD</x:v>
      </x:c>
      <x:c r="D26" s="51" t="str">
        <x:v>TBD</x:v>
      </x:c>
      <x:c r="E26" s="51" t="str">
        <x:v>TBD</x:v>
      </x:c>
      <x:c r="F26" s="51" t="str">
        <x:v>TBD</x:v>
      </x:c>
      <x:c r="G26" s="51" t="str">
        <x:v>TBD</x:v>
      </x:c>
      <x:c r="H26" s="51" t="str">
        <x:v>TBD</x:v>
      </x:c>
      <x:c r="I26" s="51" t="str">
        <x:v>TBD</x:v>
      </x:c>
      <x:c r="J26" s="51" t="str">
        <x:v>TBD</x:v>
      </x:c>
      <x:c r="K26" s="51" t="str">
        <x:v>TBD</x:v>
      </x:c>
      <x:c r="L26" s="51" t="str">
        <x:v>TBD</x:v>
      </x:c>
      <x:c r="M26" s="51" t="str">
        <x:v>TBD</x:v>
      </x:c>
      <x:c r="N26" s="51" t="str">
        <x:v>TBD</x:v>
      </x:c>
      <x:c r="O26" s="51" t="str">
        <x:f>IF(COUNTIF(B26:N26,"TBD")&gt;0,"TBD","READY")</x:f>
        <x:v>TBD</x:v>
      </x:c>
      <x:c r="P26" s="93" t="str">
        <x:v>Classification depends on factory kit vs virtual kit and component treatment.</x:v>
      </x:c>
    </x:row>
  </x:sheetData>
  <x:mergeCells>
    <x:mergeCell ref="A1:P1"/>
    <x:mergeCell ref="A2:P2"/>
  </x:mergeCells>
  <x:conditionalFormatting sqref="B6:O26">
    <x:cfRule type="containsText" dxfId="205" priority="1" operator="containsText" text="TBD"/>
    <x:cfRule type="containsText" dxfId="206" priority="2" operator="containsText" text="REVIEW"/>
    <x:cfRule type="containsText" dxfId="207" priority="3" operator="containsText" text="Hold"/>
    <x:cfRule type="containsText" dxfId="208" priority="4" operator="containsText" text="HOLD"/>
    <x:cfRule type="containsText" dxfId="209" priority="5" operator="containsText" text="FAIL"/>
    <x:cfRule type="containsText" dxfId="210" priority="6" operator="containsText" text="Not Accepted"/>
    <x:cfRule type="containsText" dxfId="211" priority="7" operator="containsText" text="N/A"/>
    <x:cfRule type="containsText" dxfId="212" priority="8" operator="containsText" text="Superseded"/>
    <x:cfRule type="containsText" dxfId="213" priority="9" operator="containsText" text="PASS"/>
    <x:cfRule type="containsText" dxfId="214" priority="10" operator="containsText" text="READY"/>
    <x:cfRule type="containsText" dxfId="215" priority="11" operator="containsText" text="Accepted"/>
    <x:cfRule type="containsText" dxfId="216" priority="12" operator="containsText" text="Confirmed"/>
  </x:conditionalFormatting>
  <x:dataValidations count="6">
    <x:dataValidation type="list" sqref="G6:G26">
      <x:formula1>"Confirmed,TBD,N/A,PASS,READY"</x:formula1>
    </x:dataValidation>
    <x:dataValidation type="list" sqref="J6:J26">
      <x:formula1>"Confirmed,TBD,N/A,PASS,READY"</x:formula1>
    </x:dataValidation>
    <x:dataValidation type="list" sqref="K6:K26">
      <x:formula1>"Confirmed,TBD,N/A,PASS,READY"</x:formula1>
    </x:dataValidation>
    <x:dataValidation type="list" sqref="L6:L26">
      <x:formula1>"Confirmed,TBD,N/A,PASS,READY"</x:formula1>
    </x:dataValidation>
    <x:dataValidation type="list" sqref="M6:M26">
      <x:formula1>"Confirmed,TBD,N/A,PASS,READY"</x:formula1>
    </x:dataValidation>
    <x:dataValidation type="list" sqref="O6:O26">
      <x:formula1>"Confirmed,TBD,N/A,PASS,READY"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89893a2d3f40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5" hidden="0" customWidth="1"/>
    <x:col min="7" max="7" width="18" hidden="0" customWidth="1"/>
    <x:col min="8" max="8" width="25" hidden="0" customWidth="1"/>
    <x:col min="9" max="9" width="32" hidden="0" customWidth="1"/>
    <x:col min="10" max="10" width="20" hidden="0" customWidth="1"/>
    <x:col min="11" max="11" width="20" hidden="0" customWidth="1"/>
    <x:col min="12" max="12" width="26" hidden="0" customWidth="1"/>
    <x:col min="13" max="13" width="29" hidden="0" customWidth="1"/>
    <x:col min="14" max="14" width="27" hidden="0" customWidth="1"/>
    <x:col min="15" max="15" width="26" hidden="0" customWidth="1"/>
    <x:col min="16" max="16" width="18" hidden="0" customWidth="1"/>
  </x:cols>
  <x:sheetData>
    <x:row r="1" ht="30" customHeight="1">
      <x:c r="A1" s="3" t="str">
        <x:v>06 - Warranty and RMA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Contract-level RMA timing and cost responsibility are confirmed; product warranty, support, and return implementation remain TBD.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5" ht="32" customHeight="1">
      <x:c r="A5" s="46" t="str">
        <x:v>Vendor_SKU</x:v>
      </x:c>
      <x:c r="B5" s="46" t="str">
        <x:v>Warranty_Months</x:v>
      </x:c>
      <x:c r="C5" s="46" t="str">
        <x:v>Warranty_Type</x:v>
      </x:c>
      <x:c r="D5" s="46" t="str">
        <x:v>DOA_Window_Days</x:v>
      </x:c>
      <x:c r="E5" s="46" t="str">
        <x:v>Digital_Return_Policy</x:v>
      </x:c>
      <x:c r="F5" s="46" t="str">
        <x:v>Support_Email</x:v>
      </x:c>
      <x:c r="G5" s="46" t="str">
        <x:v>Support_Phone</x:v>
      </x:c>
      <x:c r="H5" s="46" t="str">
        <x:v>RMA_Email</x:v>
      </x:c>
      <x:c r="I5" s="46" t="str">
        <x:v>Return_Address</x:v>
      </x:c>
      <x:c r="J5" s="46" t="str">
        <x:v>RMA_SLA_Min_Days</x:v>
      </x:c>
      <x:c r="K5" s="46" t="str">
        <x:v>RMA_SLA_Max_Days</x:v>
      </x:c>
      <x:c r="L5" s="46" t="str">
        <x:v>Vendor_Pays_Return_Freight</x:v>
      </x:c>
      <x:c r="M5" s="46" t="str">
        <x:v>B&amp;H_Provides_Warranty_Service</x:v>
      </x:c>
      <x:c r="N5" s="46" t="str">
        <x:v>Stock_Balancing_Returnable</x:v>
      </x:c>
      <x:c r="O5" s="46" t="str">
        <x:v>Warranty_Document</x:v>
      </x:c>
      <x:c r="P5" s="46" t="str">
        <x:v>Warranty_Status</x:v>
      </x:c>
    </x:row>
    <x:row r="6">
      <x:c r="A6" s="50" t="str">
        <x:v>PP-100</x:v>
      </x:c>
      <x:c r="B6" s="90"/>
      <x:c r="C6" s="90" t="str">
        <x:v>TBD</x:v>
      </x:c>
      <x:c r="D6" s="90"/>
      <x:c r="E6" s="50" t="str">
        <x:v>N/A</x:v>
      </x:c>
      <x:c r="F6" s="50" t="str">
        <x:v>TBD</x:v>
      </x:c>
      <x:c r="G6" s="50" t="str">
        <x:v>TBD</x:v>
      </x:c>
      <x:c r="H6" s="50" t="str">
        <x:v>TBD</x:v>
      </x:c>
      <x:c r="I6" s="50" t="str">
        <x:v>TBD</x:v>
      </x:c>
      <x:c r="J6" s="90" t="n">
        <x:v>2</x:v>
      </x:c>
      <x:c r="K6" s="90" t="n">
        <x:v>3</x:v>
      </x:c>
      <x:c r="L6" s="50" t="str">
        <x:v>Yes</x:v>
      </x:c>
      <x:c r="M6" s="50" t="str">
        <x:v>No</x:v>
      </x:c>
      <x:c r="N6" s="50" t="str">
        <x:v>Yes</x:v>
      </x:c>
      <x:c r="O6" s="50" t="str">
        <x:v>TBD</x:v>
      </x:c>
      <x:c r="P6" s="50" t="str">
        <x:f>IF(AND(B6&lt;&gt;"",C6&lt;&gt;"TBD",F6&lt;&gt;"TBD",H6&lt;&gt;"TBD",I6&lt;&gt;"TBD",O6&lt;&gt;"TBD"),"READY","TBD")</x:f>
        <x:v>TBD</x:v>
      </x:c>
    </x:row>
    <x:row r="7">
      <x:c r="A7" s="51" t="str">
        <x:v>PP-110</x:v>
      </x:c>
      <x:c r="B7" s="91"/>
      <x:c r="C7" s="91" t="str">
        <x:v>TBD</x:v>
      </x:c>
      <x:c r="D7" s="91"/>
      <x:c r="E7" s="51" t="str">
        <x:v>N/A</x:v>
      </x:c>
      <x:c r="F7" s="51" t="str">
        <x:v>TBD</x:v>
      </x:c>
      <x:c r="G7" s="51" t="str">
        <x:v>TBD</x:v>
      </x:c>
      <x:c r="H7" s="51" t="str">
        <x:v>TBD</x:v>
      </x:c>
      <x:c r="I7" s="51" t="str">
        <x:v>TBD</x:v>
      </x:c>
      <x:c r="J7" s="91" t="n">
        <x:v>2</x:v>
      </x:c>
      <x:c r="K7" s="91" t="n">
        <x:v>3</x:v>
      </x:c>
      <x:c r="L7" s="51" t="str">
        <x:v>Yes</x:v>
      </x:c>
      <x:c r="M7" s="51" t="str">
        <x:v>No</x:v>
      </x:c>
      <x:c r="N7" s="51" t="str">
        <x:v>Yes</x:v>
      </x:c>
      <x:c r="O7" s="51" t="str">
        <x:v>TBD</x:v>
      </x:c>
      <x:c r="P7" s="51" t="str">
        <x:f>IF(AND(B7&lt;&gt;"",C7&lt;&gt;"TBD",F7&lt;&gt;"TBD",H7&lt;&gt;"TBD",I7&lt;&gt;"TBD",O7&lt;&gt;"TBD"),"READY","TBD")</x:f>
        <x:v>TBD</x:v>
      </x:c>
    </x:row>
    <x:row r="8">
      <x:c r="A8" s="51" t="str">
        <x:v>PP-120</x:v>
      </x:c>
      <x:c r="B8" s="91"/>
      <x:c r="C8" s="91" t="str">
        <x:v>TBD</x:v>
      </x:c>
      <x:c r="D8" s="91"/>
      <x:c r="E8" s="51" t="str">
        <x:v>N/A</x:v>
      </x:c>
      <x:c r="F8" s="51" t="str">
        <x:v>TBD</x:v>
      </x:c>
      <x:c r="G8" s="51" t="str">
        <x:v>TBD</x:v>
      </x:c>
      <x:c r="H8" s="51" t="str">
        <x:v>TBD</x:v>
      </x:c>
      <x:c r="I8" s="51" t="str">
        <x:v>TBD</x:v>
      </x:c>
      <x:c r="J8" s="91" t="n">
        <x:v>2</x:v>
      </x:c>
      <x:c r="K8" s="91" t="n">
        <x:v>3</x:v>
      </x:c>
      <x:c r="L8" s="51" t="str">
        <x:v>Yes</x:v>
      </x:c>
      <x:c r="M8" s="51" t="str">
        <x:v>No</x:v>
      </x:c>
      <x:c r="N8" s="51" t="str">
        <x:v>Yes</x:v>
      </x:c>
      <x:c r="O8" s="51" t="str">
        <x:v>TBD</x:v>
      </x:c>
      <x:c r="P8" s="51" t="str">
        <x:f>IF(AND(B8&lt;&gt;"",C8&lt;&gt;"TBD",F8&lt;&gt;"TBD",H8&lt;&gt;"TBD",I8&lt;&gt;"TBD",O8&lt;&gt;"TBD"),"READY","TBD")</x:f>
        <x:v>TBD</x:v>
      </x:c>
    </x:row>
    <x:row r="9">
      <x:c r="A9" s="51" t="str">
        <x:v>GW-210</x:v>
      </x:c>
      <x:c r="B9" s="91"/>
      <x:c r="C9" s="91" t="str">
        <x:v>TBD</x:v>
      </x:c>
      <x:c r="D9" s="91"/>
      <x:c r="E9" s="51" t="str">
        <x:v>N/A</x:v>
      </x:c>
      <x:c r="F9" s="51" t="str">
        <x:v>TBD</x:v>
      </x:c>
      <x:c r="G9" s="51" t="str">
        <x:v>TBD</x:v>
      </x:c>
      <x:c r="H9" s="51" t="str">
        <x:v>TBD</x:v>
      </x:c>
      <x:c r="I9" s="51" t="str">
        <x:v>TBD</x:v>
      </x:c>
      <x:c r="J9" s="91" t="n">
        <x:v>2</x:v>
      </x:c>
      <x:c r="K9" s="91" t="n">
        <x:v>3</x:v>
      </x:c>
      <x:c r="L9" s="51" t="str">
        <x:v>Yes</x:v>
      </x:c>
      <x:c r="M9" s="51" t="str">
        <x:v>No</x:v>
      </x:c>
      <x:c r="N9" s="51" t="str">
        <x:v>Yes</x:v>
      </x:c>
      <x:c r="O9" s="51" t="str">
        <x:v>TBD</x:v>
      </x:c>
      <x:c r="P9" s="51" t="str">
        <x:f>IF(AND(B9&lt;&gt;"",C9&lt;&gt;"TBD",F9&lt;&gt;"TBD",H9&lt;&gt;"TBD",I9&lt;&gt;"TBD",O9&lt;&gt;"TBD"),"READY","TBD")</x:f>
        <x:v>TBD</x:v>
      </x:c>
    </x:row>
    <x:row r="10">
      <x:c r="A10" s="51" t="str">
        <x:v>GW-400</x:v>
      </x:c>
      <x:c r="B10" s="91"/>
      <x:c r="C10" s="91" t="str">
        <x:v>TBD</x:v>
      </x:c>
      <x:c r="D10" s="91"/>
      <x:c r="E10" s="51" t="str">
        <x:v>N/A</x:v>
      </x:c>
      <x:c r="F10" s="51" t="str">
        <x:v>TBD</x:v>
      </x:c>
      <x:c r="G10" s="51" t="str">
        <x:v>TBD</x:v>
      </x:c>
      <x:c r="H10" s="51" t="str">
        <x:v>TBD</x:v>
      </x:c>
      <x:c r="I10" s="51" t="str">
        <x:v>TBD</x:v>
      </x:c>
      <x:c r="J10" s="91" t="n">
        <x:v>2</x:v>
      </x:c>
      <x:c r="K10" s="91" t="n">
        <x:v>3</x:v>
      </x:c>
      <x:c r="L10" s="51" t="str">
        <x:v>Yes</x:v>
      </x:c>
      <x:c r="M10" s="51" t="str">
        <x:v>No</x:v>
      </x:c>
      <x:c r="N10" s="51" t="str">
        <x:v>Yes</x:v>
      </x:c>
      <x:c r="O10" s="51" t="str">
        <x:v>TBD</x:v>
      </x:c>
      <x:c r="P10" s="51" t="str">
        <x:f>IF(AND(B10&lt;&gt;"",C10&lt;&gt;"TBD",F10&lt;&gt;"TBD",H10&lt;&gt;"TBD",I10&lt;&gt;"TBD",O10&lt;&gt;"TBD"),"READY","TBD")</x:f>
        <x:v>TBD</x:v>
      </x:c>
    </x:row>
    <x:row r="11">
      <x:c r="A11" s="51" t="str">
        <x:v>HEM-100</x:v>
      </x:c>
      <x:c r="B11" s="91"/>
      <x:c r="C11" s="91" t="str">
        <x:v>TBD</x:v>
      </x:c>
      <x:c r="D11" s="91"/>
      <x:c r="E11" s="51" t="str">
        <x:v>N/A</x:v>
      </x:c>
      <x:c r="F11" s="51" t="str">
        <x:v>TBD</x:v>
      </x:c>
      <x:c r="G11" s="51" t="str">
        <x:v>TBD</x:v>
      </x:c>
      <x:c r="H11" s="51" t="str">
        <x:v>TBD</x:v>
      </x:c>
      <x:c r="I11" s="51" t="str">
        <x:v>TBD</x:v>
      </x:c>
      <x:c r="J11" s="91" t="n">
        <x:v>2</x:v>
      </x:c>
      <x:c r="K11" s="91" t="n">
        <x:v>3</x:v>
      </x:c>
      <x:c r="L11" s="51" t="str">
        <x:v>Yes</x:v>
      </x:c>
      <x:c r="M11" s="51" t="str">
        <x:v>No</x:v>
      </x:c>
      <x:c r="N11" s="51" t="str">
        <x:v>Yes</x:v>
      </x:c>
      <x:c r="O11" s="51" t="str">
        <x:v>TBD</x:v>
      </x:c>
      <x:c r="P11" s="51" t="str">
        <x:f>IF(AND(B11&lt;&gt;"",C11&lt;&gt;"TBD",F11&lt;&gt;"TBD",H11&lt;&gt;"TBD",I11&lt;&gt;"TBD",O11&lt;&gt;"TBD"),"READY","TBD")</x:f>
        <x:v>TBD</x:v>
      </x:c>
    </x:row>
    <x:row r="12">
      <x:c r="A12" s="51" t="str">
        <x:v>SW-OPS</x:v>
      </x:c>
      <x:c r="B12" s="91"/>
      <x:c r="C12" s="91" t="str">
        <x:v>TBD</x:v>
      </x:c>
      <x:c r="D12" s="91"/>
      <x:c r="E12" s="51" t="str">
        <x:v>TBD</x:v>
      </x:c>
      <x:c r="F12" s="51" t="str">
        <x:v>TBD</x:v>
      </x:c>
      <x:c r="G12" s="51" t="str">
        <x:v>TBD</x:v>
      </x:c>
      <x:c r="H12" s="51" t="str">
        <x:v>TBD</x:v>
      </x:c>
      <x:c r="I12" s="51" t="str">
        <x:v>TBD</x:v>
      </x:c>
      <x:c r="J12" s="91" t="n">
        <x:v>2</x:v>
      </x:c>
      <x:c r="K12" s="91" t="n">
        <x:v>3</x:v>
      </x:c>
      <x:c r="L12" s="51" t="str">
        <x:v>Yes</x:v>
      </x:c>
      <x:c r="M12" s="51" t="str">
        <x:v>No</x:v>
      </x:c>
      <x:c r="N12" s="51" t="str">
        <x:v>Yes</x:v>
      </x:c>
      <x:c r="O12" s="51" t="str">
        <x:v>TBD</x:v>
      </x:c>
      <x:c r="P12" s="51" t="str">
        <x:f>IF(AND(B12&lt;&gt;"",C12&lt;&gt;"TBD",F12&lt;&gt;"TBD",H12&lt;&gt;"TBD",I12&lt;&gt;"TBD",O12&lt;&gt;"TBD"),"READY","TBD")</x:f>
        <x:v>TBD</x:v>
      </x:c>
    </x:row>
    <x:row r="13">
      <x:c r="A13" s="51" t="str">
        <x:v>SW-CE</x:v>
      </x:c>
      <x:c r="B13" s="91"/>
      <x:c r="C13" s="91" t="str">
        <x:v>TBD</x:v>
      </x:c>
      <x:c r="D13" s="91"/>
      <x:c r="E13" s="51" t="str">
        <x:v>TBD</x:v>
      </x:c>
      <x:c r="F13" s="51" t="str">
        <x:v>TBD</x:v>
      </x:c>
      <x:c r="G13" s="51" t="str">
        <x:v>TBD</x:v>
      </x:c>
      <x:c r="H13" s="51" t="str">
        <x:v>TBD</x:v>
      </x:c>
      <x:c r="I13" s="51" t="str">
        <x:v>TBD</x:v>
      </x:c>
      <x:c r="J13" s="91" t="n">
        <x:v>2</x:v>
      </x:c>
      <x:c r="K13" s="91" t="n">
        <x:v>3</x:v>
      </x:c>
      <x:c r="L13" s="51" t="str">
        <x:v>Yes</x:v>
      </x:c>
      <x:c r="M13" s="51" t="str">
        <x:v>No</x:v>
      </x:c>
      <x:c r="N13" s="51" t="str">
        <x:v>Yes</x:v>
      </x:c>
      <x:c r="O13" s="51" t="str">
        <x:v>TBD</x:v>
      </x:c>
      <x:c r="P13" s="51" t="str">
        <x:f>IF(AND(B13&lt;&gt;"",C13&lt;&gt;"TBD",F13&lt;&gt;"TBD",H13&lt;&gt;"TBD",I13&lt;&gt;"TBD",O13&lt;&gt;"TBD"),"READY","TBD")</x:f>
        <x:v>TBD</x:v>
      </x:c>
    </x:row>
    <x:row r="14">
      <x:c r="A14" s="51" t="str">
        <x:v>SW-ZOOM</x:v>
      </x:c>
      <x:c r="B14" s="91"/>
      <x:c r="C14" s="91" t="str">
        <x:v>TBD</x:v>
      </x:c>
      <x:c r="D14" s="91"/>
      <x:c r="E14" s="51" t="str">
        <x:v>TBD</x:v>
      </x:c>
      <x:c r="F14" s="51" t="str">
        <x:v>TBD</x:v>
      </x:c>
      <x:c r="G14" s="51" t="str">
        <x:v>TBD</x:v>
      </x:c>
      <x:c r="H14" s="51" t="str">
        <x:v>TBD</x:v>
      </x:c>
      <x:c r="I14" s="51" t="str">
        <x:v>TBD</x:v>
      </x:c>
      <x:c r="J14" s="91" t="n">
        <x:v>2</x:v>
      </x:c>
      <x:c r="K14" s="91" t="n">
        <x:v>3</x:v>
      </x:c>
      <x:c r="L14" s="51" t="str">
        <x:v>Yes</x:v>
      </x:c>
      <x:c r="M14" s="51" t="str">
        <x:v>No</x:v>
      </x:c>
      <x:c r="N14" s="51" t="str">
        <x:v>Yes</x:v>
      </x:c>
      <x:c r="O14" s="51" t="str">
        <x:v>TBD</x:v>
      </x:c>
      <x:c r="P14" s="51" t="str">
        <x:f>IF(AND(B14&lt;&gt;"",C14&lt;&gt;"TBD",F14&lt;&gt;"TBD",H14&lt;&gt;"TBD",I14&lt;&gt;"TBD",O14&lt;&gt;"TBD"),"READY","TBD")</x:f>
        <x:v>TBD</x:v>
      </x:c>
    </x:row>
    <x:row r="15">
      <x:c r="A15" s="51" t="str">
        <x:v>SW-HOME</x:v>
      </x:c>
      <x:c r="B15" s="91"/>
      <x:c r="C15" s="91" t="str">
        <x:v>TBD</x:v>
      </x:c>
      <x:c r="D15" s="91"/>
      <x:c r="E15" s="51" t="str">
        <x:v>TBD</x:v>
      </x:c>
      <x:c r="F15" s="51" t="str">
        <x:v>TBD</x:v>
      </x:c>
      <x:c r="G15" s="51" t="str">
        <x:v>TBD</x:v>
      </x:c>
      <x:c r="H15" s="51" t="str">
        <x:v>TBD</x:v>
      </x:c>
      <x:c r="I15" s="51" t="str">
        <x:v>TBD</x:v>
      </x:c>
      <x:c r="J15" s="91" t="n">
        <x:v>2</x:v>
      </x:c>
      <x:c r="K15" s="91" t="n">
        <x:v>3</x:v>
      </x:c>
      <x:c r="L15" s="51" t="str">
        <x:v>Yes</x:v>
      </x:c>
      <x:c r="M15" s="51" t="str">
        <x:v>No</x:v>
      </x:c>
      <x:c r="N15" s="51" t="str">
        <x:v>Yes</x:v>
      </x:c>
      <x:c r="O15" s="51" t="str">
        <x:v>TBD</x:v>
      </x:c>
      <x:c r="P15" s="51" t="str">
        <x:f>IF(AND(B15&lt;&gt;"",C15&lt;&gt;"TBD",F15&lt;&gt;"TBD",H15&lt;&gt;"TBD",I15&lt;&gt;"TBD",O15&lt;&gt;"TBD"),"READY","TBD")</x:f>
        <x:v>TBD</x:v>
      </x:c>
    </x:row>
    <x:row r="16">
      <x:c r="A16" s="51" t="str">
        <x:v>BND-GW-100</x:v>
      </x:c>
      <x:c r="B16" s="91"/>
      <x:c r="C16" s="91" t="str">
        <x:v>TBD</x:v>
      </x:c>
      <x:c r="D16" s="91"/>
      <x:c r="E16" s="51" t="str">
        <x:v>TBD</x:v>
      </x:c>
      <x:c r="F16" s="51" t="str">
        <x:v>TBD</x:v>
      </x:c>
      <x:c r="G16" s="51" t="str">
        <x:v>TBD</x:v>
      </x:c>
      <x:c r="H16" s="51" t="str">
        <x:v>TBD</x:v>
      </x:c>
      <x:c r="I16" s="51" t="str">
        <x:v>TBD</x:v>
      </x:c>
      <x:c r="J16" s="91" t="n">
        <x:v>2</x:v>
      </x:c>
      <x:c r="K16" s="91" t="n">
        <x:v>3</x:v>
      </x:c>
      <x:c r="L16" s="51" t="str">
        <x:v>Yes</x:v>
      </x:c>
      <x:c r="M16" s="51" t="str">
        <x:v>No</x:v>
      </x:c>
      <x:c r="N16" s="51" t="str">
        <x:v>Yes</x:v>
      </x:c>
      <x:c r="O16" s="51" t="str">
        <x:v>TBD</x:v>
      </x:c>
      <x:c r="P16" s="51" t="str">
        <x:f>IF(AND(B16&lt;&gt;"",C16&lt;&gt;"TBD",F16&lt;&gt;"TBD",H16&lt;&gt;"TBD",I16&lt;&gt;"TBD",O16&lt;&gt;"TBD"),"READY","TBD")</x:f>
        <x:v>TBD</x:v>
      </x:c>
    </x:row>
    <x:row r="17">
      <x:c r="A17" s="51" t="str">
        <x:v>BND-GW-110</x:v>
      </x:c>
      <x:c r="B17" s="91"/>
      <x:c r="C17" s="91" t="str">
        <x:v>TBD</x:v>
      </x:c>
      <x:c r="D17" s="91"/>
      <x:c r="E17" s="51" t="str">
        <x:v>TBD</x:v>
      </x:c>
      <x:c r="F17" s="51" t="str">
        <x:v>TBD</x:v>
      </x:c>
      <x:c r="G17" s="51" t="str">
        <x:v>TBD</x:v>
      </x:c>
      <x:c r="H17" s="51" t="str">
        <x:v>TBD</x:v>
      </x:c>
      <x:c r="I17" s="51" t="str">
        <x:v>TBD</x:v>
      </x:c>
      <x:c r="J17" s="91" t="n">
        <x:v>2</x:v>
      </x:c>
      <x:c r="K17" s="91" t="n">
        <x:v>3</x:v>
      </x:c>
      <x:c r="L17" s="51" t="str">
        <x:v>Yes</x:v>
      </x:c>
      <x:c r="M17" s="51" t="str">
        <x:v>No</x:v>
      </x:c>
      <x:c r="N17" s="51" t="str">
        <x:v>Yes</x:v>
      </x:c>
      <x:c r="O17" s="51" t="str">
        <x:v>TBD</x:v>
      </x:c>
      <x:c r="P17" s="51" t="str">
        <x:f>IF(AND(B17&lt;&gt;"",C17&lt;&gt;"TBD",F17&lt;&gt;"TBD",H17&lt;&gt;"TBD",I17&lt;&gt;"TBD",O17&lt;&gt;"TBD"),"READY","TBD")</x:f>
        <x:v>TBD</x:v>
      </x:c>
    </x:row>
    <x:row r="18">
      <x:c r="A18" s="51" t="str">
        <x:v>BND-GW-120</x:v>
      </x:c>
      <x:c r="B18" s="91"/>
      <x:c r="C18" s="91" t="str">
        <x:v>TBD</x:v>
      </x:c>
      <x:c r="D18" s="91"/>
      <x:c r="E18" s="51" t="str">
        <x:v>TBD</x:v>
      </x:c>
      <x:c r="F18" s="51" t="str">
        <x:v>TBD</x:v>
      </x:c>
      <x:c r="G18" s="51" t="str">
        <x:v>TBD</x:v>
      </x:c>
      <x:c r="H18" s="51" t="str">
        <x:v>TBD</x:v>
      </x:c>
      <x:c r="I18" s="51" t="str">
        <x:v>TBD</x:v>
      </x:c>
      <x:c r="J18" s="91" t="n">
        <x:v>2</x:v>
      </x:c>
      <x:c r="K18" s="91" t="n">
        <x:v>3</x:v>
      </x:c>
      <x:c r="L18" s="51" t="str">
        <x:v>Yes</x:v>
      </x:c>
      <x:c r="M18" s="51" t="str">
        <x:v>No</x:v>
      </x:c>
      <x:c r="N18" s="51" t="str">
        <x:v>Yes</x:v>
      </x:c>
      <x:c r="O18" s="51" t="str">
        <x:v>TBD</x:v>
      </x:c>
      <x:c r="P18" s="51" t="str">
        <x:f>IF(AND(B18&lt;&gt;"",C18&lt;&gt;"TBD",F18&lt;&gt;"TBD",H18&lt;&gt;"TBD",I18&lt;&gt;"TBD",O18&lt;&gt;"TBD"),"READY","TBD")</x:f>
        <x:v>TBD</x:v>
      </x:c>
    </x:row>
    <x:row r="19">
      <x:c r="A19" s="51" t="str">
        <x:v>BND-ZOOM-100</x:v>
      </x:c>
      <x:c r="B19" s="91"/>
      <x:c r="C19" s="91" t="str">
        <x:v>TBD</x:v>
      </x:c>
      <x:c r="D19" s="91"/>
      <x:c r="E19" s="51" t="str">
        <x:v>TBD</x:v>
      </x:c>
      <x:c r="F19" s="51" t="str">
        <x:v>TBD</x:v>
      </x:c>
      <x:c r="G19" s="51" t="str">
        <x:v>TBD</x:v>
      </x:c>
      <x:c r="H19" s="51" t="str">
        <x:v>TBD</x:v>
      </x:c>
      <x:c r="I19" s="51" t="str">
        <x:v>TBD</x:v>
      </x:c>
      <x:c r="J19" s="91" t="n">
        <x:v>2</x:v>
      </x:c>
      <x:c r="K19" s="91" t="n">
        <x:v>3</x:v>
      </x:c>
      <x:c r="L19" s="51" t="str">
        <x:v>Yes</x:v>
      </x:c>
      <x:c r="M19" s="51" t="str">
        <x:v>No</x:v>
      </x:c>
      <x:c r="N19" s="51" t="str">
        <x:v>Yes</x:v>
      </x:c>
      <x:c r="O19" s="51" t="str">
        <x:v>TBD</x:v>
      </x:c>
      <x:c r="P19" s="51" t="str">
        <x:f>IF(AND(B19&lt;&gt;"",C19&lt;&gt;"TBD",F19&lt;&gt;"TBD",H19&lt;&gt;"TBD",I19&lt;&gt;"TBD",O19&lt;&gt;"TBD"),"READY","TBD")</x:f>
        <x:v>TBD</x:v>
      </x:c>
    </x:row>
    <x:row r="20">
      <x:c r="A20" s="51" t="str">
        <x:v>BND-ZOOM-110</x:v>
      </x:c>
      <x:c r="B20" s="91"/>
      <x:c r="C20" s="91" t="str">
        <x:v>TBD</x:v>
      </x:c>
      <x:c r="D20" s="91"/>
      <x:c r="E20" s="51" t="str">
        <x:v>TBD</x:v>
      </x:c>
      <x:c r="F20" s="51" t="str">
        <x:v>TBD</x:v>
      </x:c>
      <x:c r="G20" s="51" t="str">
        <x:v>TBD</x:v>
      </x:c>
      <x:c r="H20" s="51" t="str">
        <x:v>TBD</x:v>
      </x:c>
      <x:c r="I20" s="51" t="str">
        <x:v>TBD</x:v>
      </x:c>
      <x:c r="J20" s="91" t="n">
        <x:v>2</x:v>
      </x:c>
      <x:c r="K20" s="91" t="n">
        <x:v>3</x:v>
      </x:c>
      <x:c r="L20" s="51" t="str">
        <x:v>Yes</x:v>
      </x:c>
      <x:c r="M20" s="51" t="str">
        <x:v>No</x:v>
      </x:c>
      <x:c r="N20" s="51" t="str">
        <x:v>Yes</x:v>
      </x:c>
      <x:c r="O20" s="51" t="str">
        <x:v>TBD</x:v>
      </x:c>
      <x:c r="P20" s="51" t="str">
        <x:f>IF(AND(B20&lt;&gt;"",C20&lt;&gt;"TBD",F20&lt;&gt;"TBD",H20&lt;&gt;"TBD",I20&lt;&gt;"TBD",O20&lt;&gt;"TBD"),"READY","TBD")</x:f>
        <x:v>TBD</x:v>
      </x:c>
    </x:row>
    <x:row r="21">
      <x:c r="A21" s="51" t="str">
        <x:v>BND-ZOOM-120</x:v>
      </x:c>
      <x:c r="B21" s="91"/>
      <x:c r="C21" s="91" t="str">
        <x:v>TBD</x:v>
      </x:c>
      <x:c r="D21" s="91"/>
      <x:c r="E21" s="51" t="str">
        <x:v>TBD</x:v>
      </x:c>
      <x:c r="F21" s="51" t="str">
        <x:v>TBD</x:v>
      </x:c>
      <x:c r="G21" s="51" t="str">
        <x:v>TBD</x:v>
      </x:c>
      <x:c r="H21" s="51" t="str">
        <x:v>TBD</x:v>
      </x:c>
      <x:c r="I21" s="51" t="str">
        <x:v>TBD</x:v>
      </x:c>
      <x:c r="J21" s="91" t="n">
        <x:v>2</x:v>
      </x:c>
      <x:c r="K21" s="91" t="n">
        <x:v>3</x:v>
      </x:c>
      <x:c r="L21" s="51" t="str">
        <x:v>Yes</x:v>
      </x:c>
      <x:c r="M21" s="51" t="str">
        <x:v>No</x:v>
      </x:c>
      <x:c r="N21" s="51" t="str">
        <x:v>Yes</x:v>
      </x:c>
      <x:c r="O21" s="51" t="str">
        <x:v>TBD</x:v>
      </x:c>
      <x:c r="P21" s="51" t="str">
        <x:f>IF(AND(B21&lt;&gt;"",C21&lt;&gt;"TBD",F21&lt;&gt;"TBD",H21&lt;&gt;"TBD",I21&lt;&gt;"TBD",O21&lt;&gt;"TBD"),"READY","TBD")</x:f>
        <x:v>TBD</x:v>
      </x:c>
    </x:row>
    <x:row r="22">
      <x:c r="A22" s="51" t="str">
        <x:v>BND-OPS-100</x:v>
      </x:c>
      <x:c r="B22" s="91"/>
      <x:c r="C22" s="91" t="str">
        <x:v>TBD</x:v>
      </x:c>
      <x:c r="D22" s="91"/>
      <x:c r="E22" s="51" t="str">
        <x:v>TBD</x:v>
      </x:c>
      <x:c r="F22" s="51" t="str">
        <x:v>TBD</x:v>
      </x:c>
      <x:c r="G22" s="51" t="str">
        <x:v>TBD</x:v>
      </x:c>
      <x:c r="H22" s="51" t="str">
        <x:v>TBD</x:v>
      </x:c>
      <x:c r="I22" s="51" t="str">
        <x:v>TBD</x:v>
      </x:c>
      <x:c r="J22" s="91" t="n">
        <x:v>2</x:v>
      </x:c>
      <x:c r="K22" s="91" t="n">
        <x:v>3</x:v>
      </x:c>
      <x:c r="L22" s="51" t="str">
        <x:v>Yes</x:v>
      </x:c>
      <x:c r="M22" s="51" t="str">
        <x:v>No</x:v>
      </x:c>
      <x:c r="N22" s="51" t="str">
        <x:v>Yes</x:v>
      </x:c>
      <x:c r="O22" s="51" t="str">
        <x:v>TBD</x:v>
      </x:c>
      <x:c r="P22" s="51" t="str">
        <x:f>IF(AND(B22&lt;&gt;"",C22&lt;&gt;"TBD",F22&lt;&gt;"TBD",H22&lt;&gt;"TBD",I22&lt;&gt;"TBD",O22&lt;&gt;"TBD"),"READY","TBD")</x:f>
        <x:v>TBD</x:v>
      </x:c>
    </x:row>
    <x:row r="23">
      <x:c r="A23" s="51" t="str">
        <x:v>BND-OPS-120</x:v>
      </x:c>
      <x:c r="B23" s="91"/>
      <x:c r="C23" s="91" t="str">
        <x:v>TBD</x:v>
      </x:c>
      <x:c r="D23" s="91"/>
      <x:c r="E23" s="51" t="str">
        <x:v>TBD</x:v>
      </x:c>
      <x:c r="F23" s="51" t="str">
        <x:v>TBD</x:v>
      </x:c>
      <x:c r="G23" s="51" t="str">
        <x:v>TBD</x:v>
      </x:c>
      <x:c r="H23" s="51" t="str">
        <x:v>TBD</x:v>
      </x:c>
      <x:c r="I23" s="51" t="str">
        <x:v>TBD</x:v>
      </x:c>
      <x:c r="J23" s="91" t="n">
        <x:v>2</x:v>
      </x:c>
      <x:c r="K23" s="91" t="n">
        <x:v>3</x:v>
      </x:c>
      <x:c r="L23" s="51" t="str">
        <x:v>Yes</x:v>
      </x:c>
      <x:c r="M23" s="51" t="str">
        <x:v>No</x:v>
      </x:c>
      <x:c r="N23" s="51" t="str">
        <x:v>Yes</x:v>
      </x:c>
      <x:c r="O23" s="51" t="str">
        <x:v>TBD</x:v>
      </x:c>
      <x:c r="P23" s="51" t="str">
        <x:f>IF(AND(B23&lt;&gt;"",C23&lt;&gt;"TBD",F23&lt;&gt;"TBD",H23&lt;&gt;"TBD",I23&lt;&gt;"TBD",O23&lt;&gt;"TBD"),"READY","TBD")</x:f>
        <x:v>TBD</x:v>
      </x:c>
    </x:row>
    <x:row r="24">
      <x:c r="A24" s="51" t="str">
        <x:v>BND-MTG-100</x:v>
      </x:c>
      <x:c r="B24" s="91"/>
      <x:c r="C24" s="91" t="str">
        <x:v>TBD</x:v>
      </x:c>
      <x:c r="D24" s="91"/>
      <x:c r="E24" s="51" t="str">
        <x:v>TBD</x:v>
      </x:c>
      <x:c r="F24" s="51" t="str">
        <x:v>TBD</x:v>
      </x:c>
      <x:c r="G24" s="51" t="str">
        <x:v>TBD</x:v>
      </x:c>
      <x:c r="H24" s="51" t="str">
        <x:v>TBD</x:v>
      </x:c>
      <x:c r="I24" s="51" t="str">
        <x:v>TBD</x:v>
      </x:c>
      <x:c r="J24" s="91" t="n">
        <x:v>2</x:v>
      </x:c>
      <x:c r="K24" s="91" t="n">
        <x:v>3</x:v>
      </x:c>
      <x:c r="L24" s="51" t="str">
        <x:v>Yes</x:v>
      </x:c>
      <x:c r="M24" s="51" t="str">
        <x:v>No</x:v>
      </x:c>
      <x:c r="N24" s="51" t="str">
        <x:v>Yes</x:v>
      </x:c>
      <x:c r="O24" s="51" t="str">
        <x:v>TBD</x:v>
      </x:c>
      <x:c r="P24" s="51" t="str">
        <x:f>IF(AND(B24&lt;&gt;"",C24&lt;&gt;"TBD",F24&lt;&gt;"TBD",H24&lt;&gt;"TBD",I24&lt;&gt;"TBD",O24&lt;&gt;"TBD"),"READY","TBD")</x:f>
        <x:v>TBD</x:v>
      </x:c>
    </x:row>
    <x:row r="25">
      <x:c r="A25" s="51" t="str">
        <x:v>BND-MTG-110</x:v>
      </x:c>
      <x:c r="B25" s="91"/>
      <x:c r="C25" s="91" t="str">
        <x:v>TBD</x:v>
      </x:c>
      <x:c r="D25" s="91"/>
      <x:c r="E25" s="51" t="str">
        <x:v>TBD</x:v>
      </x:c>
      <x:c r="F25" s="51" t="str">
        <x:v>TBD</x:v>
      </x:c>
      <x:c r="G25" s="51" t="str">
        <x:v>TBD</x:v>
      </x:c>
      <x:c r="H25" s="51" t="str">
        <x:v>TBD</x:v>
      </x:c>
      <x:c r="I25" s="51" t="str">
        <x:v>TBD</x:v>
      </x:c>
      <x:c r="J25" s="91" t="n">
        <x:v>2</x:v>
      </x:c>
      <x:c r="K25" s="91" t="n">
        <x:v>3</x:v>
      </x:c>
      <x:c r="L25" s="51" t="str">
        <x:v>Yes</x:v>
      </x:c>
      <x:c r="M25" s="51" t="str">
        <x:v>No</x:v>
      </x:c>
      <x:c r="N25" s="51" t="str">
        <x:v>Yes</x:v>
      </x:c>
      <x:c r="O25" s="51" t="str">
        <x:v>TBD</x:v>
      </x:c>
      <x:c r="P25" s="51" t="str">
        <x:f>IF(AND(B25&lt;&gt;"",C25&lt;&gt;"TBD",F25&lt;&gt;"TBD",H25&lt;&gt;"TBD",I25&lt;&gt;"TBD",O25&lt;&gt;"TBD"),"READY","TBD")</x:f>
        <x:v>TBD</x:v>
      </x:c>
    </x:row>
    <x:row r="26">
      <x:c r="A26" s="51" t="str">
        <x:v>BND-MTG-120</x:v>
      </x:c>
      <x:c r="B26" s="91"/>
      <x:c r="C26" s="91" t="str">
        <x:v>TBD</x:v>
      </x:c>
      <x:c r="D26" s="91"/>
      <x:c r="E26" s="51" t="str">
        <x:v>TBD</x:v>
      </x:c>
      <x:c r="F26" s="51" t="str">
        <x:v>TBD</x:v>
      </x:c>
      <x:c r="G26" s="51" t="str">
        <x:v>TBD</x:v>
      </x:c>
      <x:c r="H26" s="51" t="str">
        <x:v>TBD</x:v>
      </x:c>
      <x:c r="I26" s="51" t="str">
        <x:v>TBD</x:v>
      </x:c>
      <x:c r="J26" s="91" t="n">
        <x:v>2</x:v>
      </x:c>
      <x:c r="K26" s="91" t="n">
        <x:v>3</x:v>
      </x:c>
      <x:c r="L26" s="51" t="str">
        <x:v>Yes</x:v>
      </x:c>
      <x:c r="M26" s="51" t="str">
        <x:v>No</x:v>
      </x:c>
      <x:c r="N26" s="51" t="str">
        <x:v>Yes</x:v>
      </x:c>
      <x:c r="O26" s="51" t="str">
        <x:v>TBD</x:v>
      </x:c>
      <x:c r="P26" s="51" t="str">
        <x:f>IF(AND(B26&lt;&gt;"",C26&lt;&gt;"TBD",F26&lt;&gt;"TBD",H26&lt;&gt;"TBD",I26&lt;&gt;"TBD",O26&lt;&gt;"TBD"),"READY","TBD")</x:f>
        <x:v>TBD</x:v>
      </x:c>
    </x:row>
  </x:sheetData>
  <x:mergeCells>
    <x:mergeCell ref="A1:P1"/>
    <x:mergeCell ref="A2:P2"/>
  </x:mergeCells>
  <x:conditionalFormatting sqref="C6:I26">
    <x:cfRule type="containsText" dxfId="217" priority="1" operator="containsText" text="TBD"/>
    <x:cfRule type="containsText" dxfId="218" priority="2" operator="containsText" text="REVIEW"/>
    <x:cfRule type="containsText" dxfId="219" priority="3" operator="containsText" text="Hold"/>
    <x:cfRule type="containsText" dxfId="220" priority="4" operator="containsText" text="HOLD"/>
    <x:cfRule type="containsText" dxfId="221" priority="5" operator="containsText" text="FAIL"/>
    <x:cfRule type="containsText" dxfId="222" priority="6" operator="containsText" text="Not Accepted"/>
    <x:cfRule type="containsText" dxfId="223" priority="7" operator="containsText" text="N/A"/>
    <x:cfRule type="containsText" dxfId="224" priority="8" operator="containsText" text="Superseded"/>
    <x:cfRule type="containsText" dxfId="225" priority="9" operator="containsText" text="PASS"/>
    <x:cfRule type="containsText" dxfId="226" priority="10" operator="containsText" text="READY"/>
    <x:cfRule type="containsText" dxfId="227" priority="11" operator="containsText" text="Accepted"/>
    <x:cfRule type="containsText" dxfId="228" priority="12" operator="containsText" text="Confirmed"/>
  </x:conditionalFormatting>
  <x:conditionalFormatting sqref="L6:P26">
    <x:cfRule type="containsText" dxfId="229" priority="13" operator="containsText" text="TBD"/>
    <x:cfRule type="containsText" dxfId="230" priority="14" operator="containsText" text="REVIEW"/>
    <x:cfRule type="containsText" dxfId="231" priority="15" operator="containsText" text="Hold"/>
    <x:cfRule type="containsText" dxfId="232" priority="16" operator="containsText" text="HOLD"/>
    <x:cfRule type="containsText" dxfId="233" priority="17" operator="containsText" text="FAIL"/>
    <x:cfRule type="containsText" dxfId="234" priority="18" operator="containsText" text="Not Accepted"/>
    <x:cfRule type="containsText" dxfId="235" priority="19" operator="containsText" text="N/A"/>
    <x:cfRule type="containsText" dxfId="236" priority="20" operator="containsText" text="Superseded"/>
    <x:cfRule type="containsText" dxfId="237" priority="21" operator="containsText" text="PASS"/>
    <x:cfRule type="containsText" dxfId="238" priority="22" operator="containsText" text="READY"/>
    <x:cfRule type="containsText" dxfId="239" priority="23" operator="containsText" text="Accepted"/>
    <x:cfRule type="containsText" dxfId="240" priority="24" operator="containsText" text="Confirmed"/>
  </x:conditionalFormatting>
  <x:dataValidations count="4">
    <x:dataValidation type="list" sqref="C6:C26">
      <x:formula1>"Limited,Standard,Extended,TBD,N/A"</x:formula1>
    </x:dataValidation>
    <x:dataValidation type="list" sqref="E6:E26">
      <x:formula1>"Refundable,Non-returnable,TBD,N/A"</x:formula1>
    </x:dataValidation>
    <x:dataValidation type="list" sqref="L6:N26">
      <x:formula1>"Yes,No,TBD"</x:formula1>
    </x:dataValidation>
    <x:dataValidation type="whole" operator="greaterThanOrEqual" sqref="B6:D2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ad2308abaa4d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46" hidden="0" customWidth="1"/>
    <x:col min="4" max="4" width="18" hidden="0" customWidth="1"/>
    <x:col min="5" max="5" width="17" hidden="0" customWidth="1"/>
    <x:col min="6" max="6" width="34" hidden="0" customWidth="1"/>
    <x:col min="7" max="7" width="44" hidden="0" customWidth="1"/>
    <x:col min="8" max="8" width="50" hidden="0" customWidth="1"/>
  </x:cols>
  <x:sheetData>
    <x:row r="1" ht="30" customHeight="1">
      <x:c r="A1" s="3" t="str">
        <x:v>07 - Terms and Approvals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Vendor-level commercial terms and approval evidence. Agreement is accepted; price-list programs are not evidenced as accepted.</x:v>
      </x:c>
      <x:c r="B2" s="7"/>
      <x:c r="C2" s="7"/>
      <x:c r="D2" s="7"/>
      <x:c r="E2" s="7"/>
      <x:c r="F2" s="7"/>
      <x:c r="G2" s="7"/>
      <x:c r="H2" s="7"/>
    </x:row>
    <x:row r="5" ht="32" customHeight="1">
      <x:c r="A5" s="46" t="str">
        <x:v>Area</x:v>
      </x:c>
      <x:c r="B5" s="46" t="str">
        <x:v>Term</x:v>
      </x:c>
      <x:c r="C5" s="46" t="str">
        <x:v>Agreed_or_Proposed_Value</x:v>
      </x:c>
      <x:c r="D5" s="46" t="str">
        <x:v>Status</x:v>
      </x:c>
      <x:c r="E5" s="46" t="str">
        <x:v>Effective_Date</x:v>
      </x:c>
      <x:c r="F5" s="46" t="str">
        <x:v>Contract_Reference</x:v>
      </x:c>
      <x:c r="G5" s="46" t="str">
        <x:v>Operational_Action</x:v>
      </x:c>
      <x:c r="H5" s="46" t="str">
        <x:v>Evidence_or_Notes</x:v>
      </x:c>
    </x:row>
    <x:row r="6">
      <x:c r="A6" s="50" t="str">
        <x:v>Agreement</x:v>
      </x:c>
      <x:c r="B6" s="92" t="str">
        <x:v>Legal parties</x:v>
      </x:c>
      <x:c r="C6" s="92" t="str">
        <x:v>B &amp; H Foto &amp; Electronics Corp. / IDMA INTERNATIONAL LTD</x:v>
      </x:c>
      <x:c r="D6" s="92" t="str">
        <x:v>Accepted</x:v>
      </x:c>
      <x:c r="E6" s="102" t="n">
        <x:v>46216</x:v>
      </x:c>
      <x:c r="F6" s="92" t="str">
        <x:v>KTS p.1</x:v>
      </x:c>
      <x:c r="G6" s="92" t="str">
        <x:v>Use exact legal names</x:v>
      </x:c>
      <x:c r="H6" s="92" t="str">
        <x:v>Vendor Agreement - B&amp;H &amp; IDMA International Ltd.pdf</x:v>
      </x:c>
    </x:row>
    <x:row r="7">
      <x:c r="A7" s="51" t="str">
        <x:v>Vendor identity</x:v>
      </x:c>
      <x:c r="B7" s="93" t="str">
        <x:v>Registered office</x:v>
      </x:c>
      <x:c r="C7" s="93" t="str">
        <x:v>71-75 Shelton Street, Covent Garden, London, WC2H 9JQ, United Kingdom</x:v>
      </x:c>
      <x:c r="D7" s="93" t="str">
        <x:v>Confirmed</x:v>
      </x:c>
      <x:c r="E7" s="103" t="n">
        <x:v>46219</x:v>
      </x:c>
      <x:c r="F7" s="93" t="str">
        <x:v>Companies House company 16130965</x:v>
      </x:c>
      <x:c r="G7" s="93" t="str">
        <x:v>Use as Vendor legal/registered address</x:v>
      </x:c>
      <x:c r="H7" s="93" t="str">
        <x:v>https://find-and-update.company-information.service.gov.uk/company/16130965</x:v>
      </x:c>
    </x:row>
    <x:row r="8">
      <x:c r="A8" s="51" t="str">
        <x:v>Vendor identity</x:v>
      </x:c>
      <x:c r="B8" s="93" t="str">
        <x:v>Company number</x:v>
      </x:c>
      <x:c r="C8" s="93" t="str">
        <x:v>16130965</x:v>
      </x:c>
      <x:c r="D8" s="93" t="str">
        <x:v>Confirmed</x:v>
      </x:c>
      <x:c r="E8" s="103" t="n">
        <x:v>46219</x:v>
      </x:c>
      <x:c r="F8" s="93" t="str">
        <x:v>Companies House company 16130965</x:v>
      </x:c>
      <x:c r="G8" s="93" t="str">
        <x:v>Store as text in vendor master</x:v>
      </x:c>
      <x:c r="H8" s="93" t="str">
        <x:v>https://find-and-update.company-information.service.gov.uk/company/16130965</x:v>
      </x:c>
    </x:row>
    <x:row r="9">
      <x:c r="A9" s="51" t="str">
        <x:v>Vendor identity</x:v>
      </x:c>
      <x:c r="B9" s="93" t="str">
        <x:v>General contact</x:v>
      </x:c>
      <x:c r="C9" s="93" t="str">
        <x:v>contact@idma.ai | +44 7547 237151</x:v>
      </x:c>
      <x:c r="D9" s="93" t="str">
        <x:v>Confirmed</x:v>
      </x:c>
      <x:c r="E9" s="103" t="n">
        <x:v>46219</x:v>
      </x:c>
      <x:c r="F9" s="93" t="str">
        <x:v>Vendor-supplied identity details</x:v>
      </x:c>
      <x:c r="G9" s="93" t="str">
        <x:v>Use for corporate/general correspondence; do not infer support or RMA function</x:v>
      </x:c>
      <x:c r="H9" s="93" t="str">
        <x:v>Vendor confirmation dated 2026-07-16</x:v>
      </x:c>
    </x:row>
    <x:row r="10">
      <x:c r="A10" s="51" t="str">
        <x:v>Vendor operations</x:v>
      </x:c>
      <x:c r="B10" s="93" t="str">
        <x:v>U.S. contact point (address only)</x:v>
      </x:c>
      <x:c r="C10" s="93" t="str">
        <x:v>4969 Corral St., Simi Valley, CA 93063, USA</x:v>
      </x:c>
      <x:c r="D10" s="93" t="str">
        <x:v>Confirmed</x:v>
      </x:c>
      <x:c r="E10" s="103" t="n">
        <x:v>46219</x:v>
      </x:c>
      <x:c r="F10" s="93" t="str">
        <x:v>KTS p.1; vendor clarification 2026-07-16</x:v>
      </x:c>
      <x:c r="G10" s="93" t="str">
        <x:v>Use for U.S. correspondence only; not registered office, ship-from, or RMA address</x:v>
      </x:c>
      <x:c r="H10" s="93" t="str">
        <x:v>Vendor Agreement - B&amp;H &amp; IDMA International Ltd.pdf</x:v>
      </x:c>
    </x:row>
    <x:row r="11">
      <x:c r="A11" s="51" t="str">
        <x:v>Vendor operations</x:v>
      </x:c>
      <x:c r="B11" s="93" t="str">
        <x:v>Existing B&amp;H Vendor / AR contact</x:v>
      </x:c>
      <x:c r="C11" s="93" t="str">
        <x:v>Amber Li | manager@idma.cc | +1 805-405-8787</x:v>
      </x:c>
      <x:c r="D11" s="93" t="str">
        <x:v>Accepted</x:v>
      </x:c>
      <x:c r="E11" s="103" t="n">
        <x:v>46216</x:v>
      </x:c>
      <x:c r="F11" s="93" t="str">
        <x:v>KTS p.1</x:v>
      </x:c>
      <x:c r="G11" s="93" t="str">
        <x:v>Retain unless updated through the Agreement process</x:v>
      </x:c>
      <x:c r="H11" s="93" t="str">
        <x:v>Vendor Agreement - B&amp;H &amp; IDMA International Ltd.pdf</x:v>
      </x:c>
    </x:row>
    <x:row r="12">
      <x:c r="A12" s="51" t="str">
        <x:v>Agreement</x:v>
      </x:c>
      <x:c r="B12" s="93" t="str">
        <x:v>Effective date</x:v>
      </x:c>
      <x:c r="C12" s="93" t="str">
        <x:v>Date of last signature</x:v>
      </x:c>
      <x:c r="D12" s="93" t="str">
        <x:v>Accepted</x:v>
      </x:c>
      <x:c r="E12" s="103" t="n">
        <x:v>46216</x:v>
      </x:c>
      <x:c r="F12" s="93" t="str">
        <x:v>KTS p.1</x:v>
      </x:c>
      <x:c r="G12" s="93" t="str">
        <x:v>Archive signed copy</x:v>
      </x:c>
      <x:c r="H12" s="93" t="str">
        <x:v>Vendor Agreement - B&amp;H &amp; IDMA International Ltd.pdf</x:v>
      </x:c>
    </x:row>
    <x:row r="13">
      <x:c r="A13" s="51" t="str">
        <x:v>Shipping</x:v>
      </x:c>
      <x:c r="B13" s="93" t="str">
        <x:v>Freight term</x:v>
      </x:c>
      <x:c r="C13" s="93" t="str">
        <x:v>FOB Destination</x:v>
      </x:c>
      <x:c r="D13" s="93" t="str">
        <x:v>Accepted</x:v>
      </x:c>
      <x:c r="E13" s="103" t="n">
        <x:v>46216</x:v>
      </x:c>
      <x:c r="F13" s="93" t="str">
        <x:v>KTS p.1</x:v>
      </x:c>
      <x:c r="G13" s="93" t="str">
        <x:v>Remove price-list 'shipping excluded' conflict</x:v>
      </x:c>
      <x:c r="H13" s="93" t="str">
        <x:v>Vendor Agreement - B&amp;H &amp; IDMA International Ltd.pdf</x:v>
      </x:c>
    </x:row>
    <x:row r="14">
      <x:c r="A14" s="51" t="str">
        <x:v>Shipping</x:v>
      </x:c>
      <x:c r="B14" s="93" t="str">
        <x:v>Transit loss/damage</x:v>
      </x:c>
      <x:c r="C14" s="93" t="str">
        <x:v>Vendor responsible</x:v>
      </x:c>
      <x:c r="D14" s="93" t="str">
        <x:v>Accepted</x:v>
      </x:c>
      <x:c r="E14" s="103" t="n">
        <x:v>46216</x:v>
      </x:c>
      <x:c r="F14" s="93" t="str">
        <x:v>KTS p.1</x:v>
      </x:c>
      <x:c r="G14" s="93" t="str">
        <x:v>Confirm claims workflow</x:v>
      </x:c>
      <x:c r="H14" s="93" t="str">
        <x:v>Vendor Agreement - B&amp;H &amp; IDMA International Ltd.pdf</x:v>
      </x:c>
    </x:row>
    <x:row r="15">
      <x:c r="A15" s="51" t="str">
        <x:v>Shipping</x:v>
      </x:c>
      <x:c r="B15" s="93" t="str">
        <x:v>Free stock PO shipping</x:v>
      </x:c>
      <x:c r="C15" s="93" t="str">
        <x:v>Yes</x:v>
      </x:c>
      <x:c r="D15" s="93" t="str">
        <x:v>Accepted</x:v>
      </x:c>
      <x:c r="E15" s="103" t="n">
        <x:v>46216</x:v>
      </x:c>
      <x:c r="F15" s="93" t="str">
        <x:v>KTS p.1</x:v>
      </x:c>
      <x:c r="G15" s="93" t="str">
        <x:v>Configure vendor/EDI terms</x:v>
      </x:c>
      <x:c r="H15" s="93" t="str">
        <x:v>Vendor Agreement - B&amp;H &amp; IDMA International Ltd.pdf</x:v>
      </x:c>
    </x:row>
    <x:row r="16">
      <x:c r="A16" s="51" t="str">
        <x:v>Ordering</x:v>
      </x:c>
      <x:c r="B16" s="93" t="str">
        <x:v>PO minimum</x:v>
      </x:c>
      <x:c r="C16" s="93" t="str">
        <x:v>None</x:v>
      </x:c>
      <x:c r="D16" s="93" t="str">
        <x:v>Accepted</x:v>
      </x:c>
      <x:c r="E16" s="103" t="n">
        <x:v>46216</x:v>
      </x:c>
      <x:c r="F16" s="93" t="str">
        <x:v>KTS p.1</x:v>
      </x:c>
      <x:c r="G16" s="93" t="str">
        <x:v>Case pack and order multiple still TBD</x:v>
      </x:c>
      <x:c r="H16" s="93" t="str">
        <x:v>Vendor Agreement - B&amp;H &amp; IDMA International Ltd.pdf</x:v>
      </x:c>
    </x:row>
    <x:row r="17">
      <x:c r="A17" s="51" t="str">
        <x:v>Ordering</x:v>
      </x:c>
      <x:c r="B17" s="93" t="str">
        <x:v>Drop shipment</x:v>
      </x:c>
      <x:c r="C17" s="93" t="str">
        <x:v>No</x:v>
      </x:c>
      <x:c r="D17" s="93" t="str">
        <x:v>Accepted</x:v>
      </x:c>
      <x:c r="E17" s="103" t="n">
        <x:v>46216</x:v>
      </x:c>
      <x:c r="F17" s="93" t="str">
        <x:v>KTS p.1</x:v>
      </x:c>
      <x:c r="G17" s="93" t="str">
        <x:v>Confirm software fulfillment is not drop ship</x:v>
      </x:c>
      <x:c r="H17" s="93" t="str">
        <x:v>Vendor Agreement - B&amp;H &amp; IDMA International Ltd.pdf</x:v>
      </x:c>
    </x:row>
    <x:row r="18">
      <x:c r="A18" s="51" t="str">
        <x:v>EDI</x:v>
      </x:c>
      <x:c r="B18" s="93" t="str">
        <x:v>PO / ASN / invoice</x:v>
      </x:c>
      <x:c r="C18" s="93" t="str">
        <x:v>B&amp;H EDI Portal/System required</x:v>
      </x:c>
      <x:c r="D18" s="93" t="str">
        <x:v>Accepted</x:v>
      </x:c>
      <x:c r="E18" s="103" t="n">
        <x:v>46216</x:v>
      </x:c>
      <x:c r="F18" s="93" t="str">
        <x:v>KTS p.1; T&amp;Cs §§4, 6.2, 7.1</x:v>
      </x:c>
      <x:c r="G18" s="93" t="str">
        <x:v>Complete EDI testing</x:v>
      </x:c>
      <x:c r="H18" s="93" t="str">
        <x:v>https://www.bandh.com/terms%26conditions</x:v>
      </x:c>
    </x:row>
    <x:row r="19">
      <x:c r="A19" s="51" t="str">
        <x:v>Payment</x:v>
      </x:c>
      <x:c r="B19" s="93" t="str">
        <x:v>First order</x:v>
      </x:c>
      <x:c r="C19" s="93" t="str">
        <x:v>Prepaid</x:v>
      </x:c>
      <x:c r="D19" s="93" t="str">
        <x:v>Accepted</x:v>
      </x:c>
      <x:c r="E19" s="103" t="n">
        <x:v>46216</x:v>
      </x:c>
      <x:c r="F19" s="93" t="str">
        <x:v>KTS p.1</x:v>
      </x:c>
      <x:c r="G19" s="93" t="str">
        <x:v>Confirm pro-forma and EDI sequence</x:v>
      </x:c>
      <x:c r="H19" s="93" t="str">
        <x:v>Vendor Agreement - B&amp;H &amp; IDMA International Ltd.pdf</x:v>
      </x:c>
    </x:row>
    <x:row r="20">
      <x:c r="A20" s="51" t="str">
        <x:v>Payment</x:v>
      </x:c>
      <x:c r="B20" s="93" t="str">
        <x:v>Subsequent orders</x:v>
      </x:c>
      <x:c r="C20" s="93" t="str">
        <x:v>Net 30 from invoice receipt</x:v>
      </x:c>
      <x:c r="D20" s="93" t="str">
        <x:v>Accepted</x:v>
      </x:c>
      <x:c r="E20" s="103" t="n">
        <x:v>46216</x:v>
      </x:c>
      <x:c r="F20" s="93" t="str">
        <x:v>KTS p.1; T&amp;Cs §6.1</x:v>
      </x:c>
      <x:c r="G20" s="93" t="str">
        <x:v>Configure AP terms</x:v>
      </x:c>
      <x:c r="H20" s="93" t="str">
        <x:v>https://www.bandh.com/terms%26conditions</x:v>
      </x:c>
    </x:row>
    <x:row r="21">
      <x:c r="A21" s="51" t="str">
        <x:v>Returns</x:v>
      </x:c>
      <x:c r="B21" s="93" t="str">
        <x:v>Inspection period</x:v>
      </x:c>
      <x:c r="C21" s="93" t="str">
        <x:v>5 business days</x:v>
      </x:c>
      <x:c r="D21" s="93" t="str">
        <x:v>Accepted</x:v>
      </x:c>
      <x:c r="E21" s="103" t="n">
        <x:v>46216</x:v>
      </x:c>
      <x:c r="F21" s="93" t="str">
        <x:v>KTS p.1</x:v>
      </x:c>
      <x:c r="G21" s="93" t="str">
        <x:v>Create delivery-claim SOP</x:v>
      </x:c>
      <x:c r="H21" s="93" t="str">
        <x:v>Vendor Agreement - B&amp;H &amp; IDMA International Ltd.pdf</x:v>
      </x:c>
    </x:row>
    <x:row r="22">
      <x:c r="A22" s="51" t="str">
        <x:v>Returns</x:v>
      </x:c>
      <x:c r="B22" s="93" t="str">
        <x:v>RMA response</x:v>
      </x:c>
      <x:c r="C22" s="93" t="str">
        <x:v>2-3 business days</x:v>
      </x:c>
      <x:c r="D22" s="93" t="str">
        <x:v>Accepted</x:v>
      </x:c>
      <x:c r="E22" s="103" t="n">
        <x:v>46216</x:v>
      </x:c>
      <x:c r="F22" s="93" t="str">
        <x:v>KTS p.1</x:v>
      </x:c>
      <x:c r="G22" s="93" t="str">
        <x:v>Provide RMA contact/address</x:v>
      </x:c>
      <x:c r="H22" s="93" t="str">
        <x:v>Vendor Agreement - B&amp;H &amp; IDMA International Ltd.pdf</x:v>
      </x:c>
    </x:row>
    <x:row r="23">
      <x:c r="A23" s="51" t="str">
        <x:v>Pricing</x:v>
      </x:c>
      <x:c r="B23" s="93" t="str">
        <x:v>Price-list notice</x:v>
      </x:c>
      <x:c r="C23" s="93" t="str">
        <x:v>30 days before effective date</x:v>
      </x:c>
      <x:c r="D23" s="93" t="str">
        <x:v>Accepted</x:v>
      </x:c>
      <x:c r="E23" s="103" t="n">
        <x:v>46216</x:v>
      </x:c>
      <x:c r="F23" s="93" t="str">
        <x:v>KTS p.1</x:v>
      </x:c>
      <x:c r="G23" s="93" t="str">
        <x:v>Attach notice email; recompute effective date</x:v>
      </x:c>
      <x:c r="H23" s="93" t="str">
        <x:v>Vendor Agreement - B&amp;H &amp; IDMA International Ltd.pdf</x:v>
      </x:c>
    </x:row>
    <x:row r="24">
      <x:c r="A24" s="51" t="str">
        <x:v>Pricing</x:v>
      </x:c>
      <x:c r="B24" s="93" t="str">
        <x:v>Price protection</x:v>
      </x:c>
      <x:c r="C24" s="93" t="str">
        <x:v>Invoice decrease plus on-hand/in-transit credit</x:v>
      </x:c>
      <x:c r="D24" s="93" t="str">
        <x:v>Accepted</x:v>
      </x:c>
      <x:c r="E24" s="103" t="n">
        <x:v>46216</x:v>
      </x:c>
      <x:c r="F24" s="93" t="str">
        <x:v>KTS p.1</x:v>
      </x:c>
      <x:c r="G24" s="93" t="str">
        <x:v>Configure credit workflow</x:v>
      </x:c>
      <x:c r="H24" s="93" t="str">
        <x:v>Vendor Agreement - B&amp;H &amp; IDMA International Ltd.pdf</x:v>
      </x:c>
    </x:row>
    <x:row r="25">
      <x:c r="A25" s="51" t="str">
        <x:v>Returns</x:v>
      </x:c>
      <x:c r="B25" s="93" t="str">
        <x:v>Stock balancing</x:v>
      </x:c>
      <x:c r="C25" s="93" t="str">
        <x:v>B&amp;H may elect refund or credit</x:v>
      </x:c>
      <x:c r="D25" s="93" t="str">
        <x:v>Accepted</x:v>
      </x:c>
      <x:c r="E25" s="103" t="n">
        <x:v>46216</x:v>
      </x:c>
      <x:c r="F25" s="93" t="str">
        <x:v>KTS p.1</x:v>
      </x:c>
      <x:c r="G25" s="93" t="str">
        <x:v>Document reconciliation process</x:v>
      </x:c>
      <x:c r="H25" s="93" t="str">
        <x:v>Vendor Agreement - B&amp;H &amp; IDMA International Ltd.pdf</x:v>
      </x:c>
    </x:row>
    <x:row r="26">
      <x:c r="A26" s="51" t="str">
        <x:v>Insurance</x:v>
      </x:c>
      <x:c r="B26" s="93" t="str">
        <x:v>Minimum coverage / COI</x:v>
      </x:c>
      <x:c r="C26" s="93" t="str">
        <x:v>$5,000,000; B&amp;H additional insured and certificate holder</x:v>
      </x:c>
      <x:c r="D26" s="93" t="str">
        <x:v>Action Required</x:v>
      </x:c>
      <x:c r="E26" s="103" t="n">
        <x:v>46216</x:v>
      </x:c>
      <x:c r="F26" s="93" t="str">
        <x:v>T&amp;Cs §17 p.3</x:v>
      </x:c>
      <x:c r="G26" s="93" t="str">
        <x:v>Submit compliant COI</x:v>
      </x:c>
      <x:c r="H26" s="93" t="str">
        <x:v>https://www.bandh.com/terms%26conditions</x:v>
      </x:c>
    </x:row>
    <x:row r="27">
      <x:c r="A27" s="51" t="str">
        <x:v>Program</x:v>
      </x:c>
      <x:c r="B27" s="93" t="str">
        <x:v>Quarterly volume rebate</x:v>
      </x:c>
      <x:c r="C27" s="93" t="str">
        <x:v>Proposed Addendum IDMA-BH-RM-2026-01 v1.0</x:v>
      </x:c>
      <x:c r="D27" s="93" t="str">
        <x:v>Not Accepted</x:v>
      </x:c>
      <x:c r="E27" s="103"/>
      <x:c r="F27" s="93" t="str">
        <x:v>T&amp;Cs §9.1</x:v>
      </x:c>
      <x:c r="G27" s="93" t="str">
        <x:v>Obtain authorized written acceptance</x:v>
      </x:c>
      <x:c r="H27" s="93" t="str">
        <x:v>Proposed addendum; not part of the signed KTS</x:v>
      </x:c>
    </x:row>
    <x:row r="28">
      <x:c r="A28" s="51" t="str">
        <x:v>Program</x:v>
      </x:c>
      <x:c r="B28" s="93" t="str">
        <x:v>MAP policy</x:v>
      </x:c>
      <x:c r="C28" s="93" t="str">
        <x:v>Proposed Addendum IDMA-BH-RM-2026-01 v1.0</x:v>
      </x:c>
      <x:c r="D28" s="93" t="str">
        <x:v>Not Accepted</x:v>
      </x:c>
      <x:c r="E28" s="103"/>
      <x:c r="F28" s="93" t="str">
        <x:v>T&amp;Cs §§9.1, 21.7</x:v>
      </x:c>
      <x:c r="G28" s="93" t="str">
        <x:v>Obtain authorized written acceptance</x:v>
      </x:c>
      <x:c r="H28" s="93" t="str">
        <x:v>Proposed addendum; not part of the signed KTS</x:v>
      </x:c>
    </x:row>
    <x:row r="29">
      <x:c r="A29" s="51" t="str">
        <x:v>Pricing</x:v>
      </x:c>
      <x:c r="B29" s="93" t="str">
        <x:v>Controlled Price Schedule</x:v>
      </x:c>
      <x:c r="C29" s="93" t="str">
        <x:v>IDMA-BH-PS-2026-01 v3.5</x:v>
      </x:c>
      <x:c r="D29" s="93" t="str">
        <x:v>Confirmed</x:v>
      </x:c>
      <x:c r="E29" s="103" t="n">
        <x:v>46219</x:v>
      </x:c>
      <x:c r="F29" s="93" t="str">
        <x:v>Controlled schedule</x:v>
      </x:c>
      <x:c r="G29" s="93" t="str">
        <x:v>Use as current pricing source</x:v>
      </x:c>
      <x:c r="H29" s="93" t="str">
        <x:v>IDMA-BH-PS-2026-01 v3.5 (Controlled Price Schedule)</x:v>
      </x:c>
    </x:row>
    <x:row r="30">
      <x:c r="A30" s="51" t="str">
        <x:v>Pricing</x:v>
      </x:c>
      <x:c r="B30" s="93" t="str">
        <x:v>Legacy price-list mismatch</x:v>
      </x:c>
      <x:c r="C30" s="93" t="str">
        <x:v>Filename v2.1 / footer v3.4</x:v>
      </x:c>
      <x:c r="D30" s="93" t="str">
        <x:v>Superseded</x:v>
      </x:c>
      <x:c r="E30" s="103"/>
      <x:c r="F30" s="93" t="str">
        <x:v>Legacy source</x:v>
      </x:c>
      <x:c r="G30" s="93" t="str">
        <x:v>Retain for audit only; do not use as current source</x:v>
      </x:c>
      <x:c r="H30" s="93" t="str">
        <x:v>IDMA INTERNATIONAL LTD - BH Retail Partner Price List 2026 (v2.1)_1.pdf</x:v>
      </x:c>
    </x:row>
    <x:row r="31">
      <x:c r="A31" s="51" t="str">
        <x:v>Pricing</x:v>
      </x:c>
      <x:c r="B31" s="93" t="str">
        <x:v>Stated effective date</x:v>
      </x:c>
      <x:c r="C31" s="93" t="str">
        <x:v>2026-08-17</x:v>
      </x:c>
      <x:c r="D31" s="93" t="str">
        <x:v>Hold</x:v>
      </x:c>
      <x:c r="E31" s="103" t="n">
        <x:v>46251</x:v>
      </x:c>
      <x:c r="F31" s="93" t="str">
        <x:v>IDMA-BH-PS-2026-01 v3.5; KTS p.1</x:v>
      </x:c>
      <x:c r="G31" s="93" t="str">
        <x:v>Enter notice-sent date and verify 30-day rule</x:v>
      </x:c>
      <x:c r="H31" s="93" t="str">
        <x:v>IDMA-BH-PS-2026-01 v3.5 (Controlled Price Schedule)</x:v>
      </x:c>
    </x:row>
    <x:row r="32">
      <x:c r="A32" s="51" t="str">
        <x:v>Pricing</x:v>
      </x:c>
      <x:c r="B32" s="93" t="str">
        <x:v>Valid through</x:v>
      </x:c>
      <x:c r="C32" s="93" t="str">
        <x:v>2026-12-31</x:v>
      </x:c>
      <x:c r="D32" s="93" t="str">
        <x:v>Confirmed</x:v>
      </x:c>
      <x:c r="E32" s="103" t="n">
        <x:v>46387</x:v>
      </x:c>
      <x:c r="F32" s="93" t="str">
        <x:v>IDMA-BH-PS-2026-01 v3.5</x:v>
      </x:c>
      <x:c r="G32" s="93" t="str">
        <x:v>Confirm any extension in writing</x:v>
      </x:c>
      <x:c r="H32" s="93" t="str">
        <x:v>IDMA-BH-PS-2026-01 v3.5 (Controlled Price Schedule)</x:v>
      </x:c>
    </x:row>
  </x:sheetData>
  <x:mergeCells>
    <x:mergeCell ref="A1:H1"/>
    <x:mergeCell ref="A2:H2"/>
  </x:mergeCells>
  <x:conditionalFormatting sqref="D6:D32">
    <x:cfRule type="containsText" dxfId="241" priority="1" operator="containsText" text="TBD"/>
    <x:cfRule type="containsText" dxfId="242" priority="2" operator="containsText" text="REVIEW"/>
    <x:cfRule type="containsText" dxfId="243" priority="3" operator="containsText" text="Hold"/>
    <x:cfRule type="containsText" dxfId="244" priority="4" operator="containsText" text="HOLD"/>
    <x:cfRule type="containsText" dxfId="245" priority="5" operator="containsText" text="FAIL"/>
    <x:cfRule type="containsText" dxfId="246" priority="6" operator="containsText" text="Not Accepted"/>
    <x:cfRule type="containsText" dxfId="247" priority="7" operator="containsText" text="N/A"/>
    <x:cfRule type="containsText" dxfId="248" priority="8" operator="containsText" text="Superseded"/>
    <x:cfRule type="containsText" dxfId="249" priority="9" operator="containsText" text="PASS"/>
    <x:cfRule type="containsText" dxfId="250" priority="10" operator="containsText" text="READY"/>
    <x:cfRule type="containsText" dxfId="251" priority="11" operator="containsText" text="Accepted"/>
    <x:cfRule type="containsText" dxfId="252" priority="12" operator="containsText" text="Confirmed"/>
  </x:conditionalFormatting>
  <x:dataValidations count="1">
    <x:dataValidation type="list" sqref="D6:D32">
      <x:formula1>"Accepted,Confirmed,Proposed,Not Accepted,Action Required,Hold,Superseded,Expired"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02a3c9744447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58" hidden="0" customWidth="1"/>
  </x:cols>
  <x:sheetData>
    <x:row r="1" ht="30" customHeight="1">
      <x:c r="A1" s="3" t="str">
        <x:v>99 - Lists and QA</x:v>
      </x:c>
      <x:c r="B1" s="3"/>
      <x:c r="C1" s="3"/>
      <x:c r="D1" s="3"/>
      <x:c r="E1" s="3"/>
    </x:row>
    <x:row r="2" ht="28" customHeight="1">
      <x:c r="A2" s="7" t="str">
        <x:v>Automated workbook checks plus validation dictionaries. REVIEW/HOLD items are expected launch dependencies, not formula errors.</x:v>
      </x:c>
      <x:c r="B2" s="7"/>
      <x:c r="C2" s="7"/>
      <x:c r="D2" s="7"/>
      <x:c r="E2" s="7"/>
    </x:row>
    <x:row r="5" ht="32" customHeight="1">
      <x:c r="A5" s="46" t="str">
        <x:v>QA_Check</x:v>
      </x:c>
      <x:c r="B5" s="46" t="str">
        <x:v>Actual</x:v>
      </x:c>
      <x:c r="C5" s="46" t="str">
        <x:v>Expected</x:v>
      </x:c>
      <x:c r="D5" s="46" t="str">
        <x:v>Status</x:v>
      </x:c>
      <x:c r="E5" s="46" t="str">
        <x:v>Action</x:v>
      </x:c>
    </x:row>
    <x:row r="6">
      <x:c r="A6" s="50" t="str">
        <x:v>SKU count</x:v>
      </x:c>
      <x:c r="B6" s="50" t="n">
        <x:f>COUNTA('01_Item_Master'!$B$6:$B$26)</x:f>
        <x:v>21</x:v>
      </x:c>
      <x:c r="C6" s="50" t="n">
        <x:v>21</x:v>
      </x:c>
      <x:c r="D6" s="50" t="str">
        <x:f>IF(B6=C6,"PASS","FAIL")</x:f>
        <x:v>PASS</x:v>
      </x:c>
      <x:c r="E6" s="50" t="str">
        <x:v>Must remain 21 unless approved assortment changes.</x:v>
      </x:c>
    </x:row>
    <x:row r="7">
      <x:c r="A7" s="51" t="str">
        <x:v>Bundle BOM line count</x:v>
      </x:c>
      <x:c r="B7" s="51" t="n">
        <x:f>COUNTA('03_Bundle_BOM'!$A$6:$A$30)</x:f>
        <x:v>25</x:v>
      </x:c>
      <x:c r="C7" s="51" t="n">
        <x:v>25</x:v>
      </x:c>
      <x:c r="D7" s="51" t="str">
        <x:f>IF(B7=C7,"PASS","FAIL")</x:f>
        <x:v>PASS</x:v>
      </x:c>
      <x:c r="E7" s="51" t="str">
        <x:v>Must remain 25 for the current 11 bundles.</x:v>
      </x:c>
    </x:row>
    <x:row r="8">
      <x:c r="A8" s="51" t="str">
        <x:v>UPC checksum failures</x:v>
      </x:c>
      <x:c r="B8" s="51" t="n">
        <x:f>COUNTIF('01_Item_Master'!$N$6:$N$26,"FAIL")</x:f>
        <x:v>0</x:v>
      </x:c>
      <x:c r="C8" s="51" t="n">
        <x:v>0</x:v>
      </x:c>
      <x:c r="D8" s="51" t="str">
        <x:f>IF(B8=C8,"PASS","FAIL")</x:f>
        <x:v>PASS</x:v>
      </x:c>
      <x:c r="E8" s="51" t="str">
        <x:v>Correct any failing provided UPC.</x:v>
      </x:c>
    </x:row>
    <x:row r="9">
      <x:c r="A9" s="51" t="str">
        <x:v>UPC values still TBD</x:v>
      </x:c>
      <x:c r="B9" s="51" t="n">
        <x:f>COUNTIF('01_Item_Master'!$L$6:$L$26,"TBD")</x:f>
        <x:v>15</x:v>
      </x:c>
      <x:c r="C9" s="51" t="n">
        <x:v>0</x:v>
      </x:c>
      <x:c r="D9" s="51" t="str">
        <x:f>IF(B9=C9,"PASS","REVIEW")</x:f>
        <x:v>REVIEW</x:v>
      </x:c>
      <x:c r="E9" s="51" t="str">
        <x:v>Obtain UPC/GTIN or written B&amp;H exception.</x:v>
      </x:c>
    </x:row>
    <x:row r="10">
      <x:c r="A10" s="51" t="str">
        <x:v>Bundle original-value mismatches</x:v>
      </x:c>
      <x:c r="B10" s="51" t="n">
        <x:f>COUNTIF('02_Pricing'!$I$6:$I$26,"FAIL")</x:f>
        <x:v>0</x:v>
      </x:c>
      <x:c r="C10" s="51" t="n">
        <x:v>0</x:v>
      </x:c>
      <x:c r="D10" s="51" t="str">
        <x:f>IF(B10=C10,"PASS","FAIL")</x:f>
        <x:v>PASS</x:v>
      </x:c>
      <x:c r="E10" s="51" t="str">
        <x:v>Reconcile BOM MSRP to source Original Value.</x:v>
      </x:c>
    </x:row>
    <x:row r="11">
      <x:c r="A11" s="51" t="str">
        <x:v>Price notice dates missing</x:v>
      </x:c>
      <x:c r="B11" s="51" t="n">
        <x:f>COUNTBLANK('02_Pricing'!$P$6:$P$26)</x:f>
        <x:v>21</x:v>
      </x:c>
      <x:c r="C11" s="51" t="n">
        <x:v>0</x:v>
      </x:c>
      <x:c r="D11" s="51" t="str">
        <x:f>IF(B11=C11,"PASS","HOLD")</x:f>
        <x:v>HOLD</x:v>
      </x:c>
      <x:c r="E11" s="51" t="str">
        <x:v>Attach sent date and recompute contractual effective date.</x:v>
      </x:c>
    </x:row>
    <x:row r="12">
      <x:c r="A12" s="51" t="str">
        <x:v>MAP rows not accepted</x:v>
      </x:c>
      <x:c r="B12" s="51" t="n">
        <x:f>COUNTIF('02_Pricing'!$K$6:$K$26,"Not Accepted")</x:f>
        <x:v>21</x:v>
      </x:c>
      <x:c r="C12" s="51" t="n">
        <x:v>0</x:v>
      </x:c>
      <x:c r="D12" s="51" t="str">
        <x:f>IF(B12=C12,"PASS","HOLD")</x:f>
        <x:v>HOLD</x:v>
      </x:c>
      <x:c r="E12" s="51" t="str">
        <x:v>Obtain authorized acceptance before enforcement.</x:v>
      </x:c>
    </x:row>
    <x:row r="13">
      <x:c r="A13" s="51" t="str">
        <x:v>Rebate rows not accepted</x:v>
      </x:c>
      <x:c r="B13" s="51" t="n">
        <x:f>COUNTIF('02_Pricing'!$T$6:$T$26,"Not Accepted")</x:f>
        <x:v>21</x:v>
      </x:c>
      <x:c r="C13" s="51" t="n">
        <x:v>0</x:v>
      </x:c>
      <x:c r="D13" s="51" t="str">
        <x:f>IF(B13=C13,"PASS","HOLD")</x:f>
        <x:v>HOLD</x:v>
      </x:c>
      <x:c r="E13" s="51" t="str">
        <x:v>Obtain authorized acceptance before accrual.</x:v>
      </x:c>
    </x:row>
    <x:row r="14">
      <x:c r="A14" s="51" t="str">
        <x:v>Compliance rows TBD</x:v>
      </x:c>
      <x:c r="B14" s="51" t="n">
        <x:f>COUNTIF('05_Compliance'!$O$6:$O$26,"TBD")</x:f>
        <x:v>21</x:v>
      </x:c>
      <x:c r="C14" s="51" t="n">
        <x:v>0</x:v>
      </x:c>
      <x:c r="D14" s="51" t="str">
        <x:f>IF(B14=C14,"PASS","REVIEW")</x:f>
        <x:v>REVIEW</x:v>
      </x:c>
      <x:c r="E14" s="51" t="str">
        <x:v>Supply COO/classification/certification evidence.</x:v>
      </x:c>
    </x:row>
    <x:row r="15">
      <x:c r="A15" s="51" t="str">
        <x:v>Logistics rows TBD</x:v>
      </x:c>
      <x:c r="B15" s="51" t="n">
        <x:f>COUNTIF('04_Logistics'!$W$6:$W$26,"TBD")</x:f>
        <x:v>21</x:v>
      </x:c>
      <x:c r="C15" s="51" t="n">
        <x:v>0</x:v>
      </x:c>
      <x:c r="D15" s="51" t="str">
        <x:f>IF(B15=C15,"PASS","REVIEW")</x:f>
        <x:v>REVIEW</x:v>
      </x:c>
      <x:c r="E15" s="51" t="str">
        <x:v>Complete pack, lead-time, serial, and battery fields.</x:v>
      </x:c>
    </x:row>
    <x:row r="16">
      <x:c r="A16" s="51" t="str">
        <x:v>Warranty/RMA rows TBD</x:v>
      </x:c>
      <x:c r="B16" s="51" t="n">
        <x:f>COUNTIF('06_Warranty_RMA'!$P$6:$P$26,"TBD")</x:f>
        <x:v>21</x:v>
      </x:c>
      <x:c r="C16" s="51" t="n">
        <x:v>0</x:v>
      </x:c>
      <x:c r="D16" s="51" t="str">
        <x:f>IF(B16=C16,"PASS","REVIEW")</x:f>
        <x:v>REVIEW</x:v>
      </x:c>
      <x:c r="E16" s="51" t="str">
        <x:v>Supply product warranty and operating contacts.</x:v>
      </x:c>
    </x:row>
    <x:row r="17">
      <x:c r="A17" s="51" t="str">
        <x:v>SW-HOME non-selling and blank cost</x:v>
      </x:c>
      <x:c r="B17" s="51" t="n">
        <x:f>IF(AND('01_Item_Master'!$H$15="No",'02_Pricing'!$E$15=""),1,0)</x:f>
        <x:v>1</x:v>
      </x:c>
      <x:c r="C17" s="51" t="n">
        <x:v>1</x:v>
      </x:c>
      <x:c r="D17" s="51" t="str">
        <x:f>IF(B17=C17,"PASS","FAIL")</x:f>
        <x:v>PASS</x:v>
      </x:c>
      <x:c r="E17" s="51" t="str">
        <x:v>Expected hold until B&amp;H confirms treatment.</x:v>
      </x:c>
    </x:row>
    <x:row r="18">
      <x:c r="A18" s="51" t="str">
        <x:v>Controlled Price Schedule version rows</x:v>
      </x:c>
      <x:c r="B18" s="51" t="n">
        <x:f>COUNTIF('02_Pricing'!$U$6:$U$26,"IDMA-BH-PS-2026-01 v3.5")</x:f>
        <x:v>21</x:v>
      </x:c>
      <x:c r="C18" s="51" t="n">
        <x:v>21</x:v>
      </x:c>
      <x:c r="D18" s="51" t="str">
        <x:f>IF(B18=C18,"PASS","FAIL")</x:f>
        <x:v>PASS</x:v>
      </x:c>
      <x:c r="E18" s="51" t="str">
        <x:v>All rows must use IDMA-BH-PS-2026-01 v3.5.</x:v>
      </x:c>
    </x:row>
    <x:row r="20">
      <x:c r="A20" s="16" t="str">
        <x:v>Validation dictionaries</x:v>
      </x:c>
      <x:c r="B20" s="16"/>
      <x:c r="C20" s="16"/>
      <x:c r="D20" s="16"/>
      <x:c r="E20" s="16"/>
    </x:row>
    <x:row r="21" ht="32" customHeight="1">
      <x:c r="A21" s="46" t="str">
        <x:v>Record status</x:v>
      </x:c>
      <x:c r="B21" s="46" t="str">
        <x:v>Applicability</x:v>
      </x:c>
      <x:c r="C21" s="46" t="str">
        <x:v>Item type</x:v>
      </x:c>
      <x:c r="D21" s="46" t="str">
        <x:v>Fulfillment</x:v>
      </x:c>
      <x:c r="E21" s="46" t="str">
        <x:v>Approval status</x:v>
      </x:c>
    </x:row>
    <x:row r="22">
      <x:c r="A22" s="50" t="str">
        <x:v>Confirmed</x:v>
      </x:c>
      <x:c r="B22" s="50" t="str">
        <x:v>Confirmed</x:v>
      </x:c>
      <x:c r="C22" s="50" t="str">
        <x:v>Hardware</x:v>
      </x:c>
      <x:c r="D22" s="50" t="str">
        <x:v>Physical</x:v>
      </x:c>
      <x:c r="E22" s="50" t="str">
        <x:v>Accepted</x:v>
      </x:c>
    </x:row>
    <x:row r="23">
      <x:c r="A23" s="51" t="str">
        <x:v>TBD</x:v>
      </x:c>
      <x:c r="B23" s="51" t="str">
        <x:v>TBD</x:v>
      </x:c>
      <x:c r="C23" s="51" t="str">
        <x:v>Software</x:v>
      </x:c>
      <x:c r="D23" s="51" t="str">
        <x:v>ESD</x:v>
      </x:c>
      <x:c r="E23" s="51" t="str">
        <x:v>Not Accepted</x:v>
      </x:c>
    </x:row>
    <x:row r="24">
      <x:c r="A24" s="51" t="str">
        <x:v>Hold</x:v>
      </x:c>
      <x:c r="B24" s="51" t="str">
        <x:v>N/A</x:v>
      </x:c>
      <x:c r="C24" s="51" t="str">
        <x:v>Bundle</x:v>
      </x:c>
      <x:c r="D24" s="51" t="str">
        <x:v>License Code</x:v>
      </x:c>
      <x:c r="E24" s="51" t="str">
        <x:v>Proposed</x:v>
      </x:c>
    </x:row>
    <x:row r="25">
      <x:c r="A25" s="51" t="str"/>
      <x:c r="B25" s="51" t="str"/>
      <x:c r="C25" s="51" t="str"/>
      <x:c r="D25" s="51" t="str">
        <x:v>Virtual Kit</x:v>
      </x:c>
      <x:c r="E25" s="51" t="str">
        <x:v>Confirmed</x:v>
      </x:c>
    </x:row>
    <x:row r="26">
      <x:c r="A26" s="51" t="str"/>
      <x:c r="B26" s="51" t="str"/>
      <x:c r="C26" s="51" t="str"/>
      <x:c r="D26" s="51" t="str">
        <x:v>Factory Bundle</x:v>
      </x:c>
      <x:c r="E26" s="51" t="str">
        <x:v>Action Required</x:v>
      </x:c>
    </x:row>
    <x:row r="27">
      <x:c r="A27" s="51" t="str"/>
      <x:c r="B27" s="51" t="str"/>
      <x:c r="C27" s="51" t="str"/>
      <x:c r="D27" s="51" t="str">
        <x:v>TBD</x:v>
      </x:c>
      <x:c r="E27" s="51" t="str">
        <x:v>Hold</x:v>
      </x:c>
    </x:row>
    <x:row r="28">
      <x:c r="A28" s="51" t="str"/>
      <x:c r="B28" s="51" t="str"/>
      <x:c r="C28" s="51" t="str"/>
      <x:c r="D28" s="51" t="str">
        <x:v>N/A</x:v>
      </x:c>
      <x:c r="E28" s="51" t="str">
        <x:v>Superseded</x:v>
      </x:c>
    </x:row>
    <x:row r="30">
      <x:c r="A30" s="112" t="str">
        <x:v>Manual assortment review: BND-OPS-110 is not present in the source price list. Do not create it unless IDMA confirms it is an intended SKU.</x:v>
      </x:c>
      <x:c r="B30" s="113"/>
      <x:c r="C30" s="113"/>
      <x:c r="D30" s="113"/>
      <x:c r="E30" s="114"/>
    </x:row>
    <x:row r="31">
      <x:c r="A31" s="115"/>
      <x:c r="B31" s="116"/>
      <x:c r="C31" s="116"/>
      <x:c r="D31" s="116"/>
      <x:c r="E31" s="117"/>
    </x:row>
  </x:sheetData>
  <x:mergeCells>
    <x:mergeCell ref="A1:E1"/>
    <x:mergeCell ref="A2:E2"/>
    <x:mergeCell ref="A20:E20"/>
    <x:mergeCell ref="A30:E31"/>
  </x:mergeCells>
  <x:conditionalFormatting sqref="D6:D18">
    <x:cfRule type="containsText" dxfId="253" priority="1" operator="containsText" text="TBD"/>
    <x:cfRule type="containsText" dxfId="254" priority="2" operator="containsText" text="REVIEW"/>
    <x:cfRule type="containsText" dxfId="255" priority="3" operator="containsText" text="Hold"/>
    <x:cfRule type="containsText" dxfId="256" priority="4" operator="containsText" text="HOLD"/>
    <x:cfRule type="containsText" dxfId="257" priority="5" operator="containsText" text="FAIL"/>
    <x:cfRule type="containsText" dxfId="258" priority="6" operator="containsText" text="Not Accepted"/>
    <x:cfRule type="containsText" dxfId="259" priority="7" operator="containsText" text="N/A"/>
    <x:cfRule type="containsText" dxfId="260" priority="8" operator="containsText" text="Superseded"/>
    <x:cfRule type="containsText" dxfId="261" priority="9" operator="containsText" text="PASS"/>
    <x:cfRule type="containsText" dxfId="262" priority="10" operator="containsText" text="READY"/>
    <x:cfRule type="containsText" dxfId="263" priority="11" operator="containsText" text="Accepted"/>
    <x:cfRule type="containsText" dxfId="264" priority="12" operator="containsText" text="Confirmed"/>
  </x:conditionalFormatting>
  <x:pageMargins left="0.7" right="0.7" top="0.75" bottom="0.75" header="0.3" footer="0.3"/>
</x:worksheet>
</file>